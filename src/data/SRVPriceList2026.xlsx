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uj\gear-motor-app\src\data\"/>
    </mc:Choice>
  </mc:AlternateContent>
  <xr:revisionPtr revIDLastSave="0" documentId="13_ncr:1_{843F2A4C-F555-4FBD-AB40-C45797A200C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4" i="1" l="1"/>
  <c r="P44" i="1"/>
  <c r="O44" i="1"/>
  <c r="N44" i="1"/>
  <c r="Q43" i="1"/>
  <c r="P43" i="1"/>
  <c r="O43" i="1"/>
  <c r="N43" i="1"/>
  <c r="Q42" i="1"/>
  <c r="P42" i="1"/>
  <c r="O42" i="1"/>
  <c r="N42" i="1"/>
  <c r="Q41" i="1"/>
  <c r="P41" i="1"/>
  <c r="O41" i="1"/>
  <c r="N41" i="1"/>
  <c r="Q40" i="1"/>
  <c r="P40" i="1"/>
  <c r="O40" i="1"/>
  <c r="N40" i="1"/>
  <c r="Q39" i="1"/>
  <c r="P39" i="1"/>
  <c r="O39" i="1"/>
  <c r="N39" i="1"/>
  <c r="Q38" i="1"/>
  <c r="P38" i="1"/>
  <c r="O38" i="1"/>
  <c r="N38" i="1"/>
  <c r="Q37" i="1"/>
  <c r="P37" i="1"/>
  <c r="O37" i="1"/>
  <c r="N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Q19" i="1"/>
  <c r="P19" i="1"/>
  <c r="O19" i="1"/>
  <c r="N19" i="1"/>
  <c r="Q18" i="1"/>
  <c r="P18" i="1"/>
  <c r="O18" i="1"/>
  <c r="N18" i="1"/>
  <c r="Q17" i="1"/>
  <c r="P17" i="1"/>
  <c r="O17" i="1"/>
  <c r="N1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  <c r="G44" i="1"/>
  <c r="H44" i="1"/>
  <c r="F44" i="1"/>
  <c r="G42" i="1"/>
  <c r="H43" i="1"/>
  <c r="G43" i="1"/>
  <c r="F43" i="1"/>
  <c r="H42" i="1"/>
  <c r="F42" i="1"/>
  <c r="G41" i="1"/>
  <c r="H41" i="1"/>
  <c r="F41" i="1"/>
  <c r="G40" i="1"/>
  <c r="H40" i="1"/>
  <c r="F40" i="1"/>
  <c r="H39" i="1"/>
  <c r="G39" i="1"/>
  <c r="F39" i="1"/>
  <c r="G38" i="1"/>
  <c r="H38" i="1"/>
  <c r="F38" i="1"/>
  <c r="G37" i="1"/>
  <c r="H37" i="1"/>
  <c r="F37" i="1"/>
  <c r="H36" i="1"/>
  <c r="G36" i="1"/>
  <c r="F36" i="1"/>
  <c r="H35" i="1"/>
  <c r="G35" i="1"/>
  <c r="F35" i="1"/>
  <c r="G34" i="1"/>
  <c r="H34" i="1"/>
  <c r="F34" i="1"/>
  <c r="H33" i="1"/>
  <c r="G33" i="1"/>
  <c r="F33" i="1"/>
  <c r="G32" i="1"/>
  <c r="H32" i="1"/>
  <c r="F32" i="1"/>
  <c r="H31" i="1"/>
  <c r="G31" i="1"/>
  <c r="F31" i="1"/>
  <c r="H30" i="1"/>
  <c r="G30" i="1"/>
  <c r="F30" i="1"/>
  <c r="H29" i="1"/>
  <c r="G29" i="1"/>
  <c r="F29" i="1"/>
  <c r="E29" i="1"/>
  <c r="G28" i="1"/>
  <c r="E28" i="1"/>
  <c r="H28" i="1"/>
  <c r="F28" i="1"/>
  <c r="H27" i="1"/>
  <c r="G27" i="1"/>
  <c r="F27" i="1"/>
  <c r="G26" i="1"/>
  <c r="H26" i="1"/>
  <c r="F26" i="1"/>
  <c r="H25" i="1"/>
  <c r="G25" i="1"/>
  <c r="F25" i="1"/>
  <c r="H24" i="1"/>
  <c r="G24" i="1"/>
  <c r="F24" i="1"/>
  <c r="H23" i="1"/>
  <c r="G23" i="1"/>
  <c r="F23" i="1"/>
  <c r="G22" i="1"/>
  <c r="H22" i="1"/>
  <c r="F22" i="1"/>
  <c r="H21" i="1"/>
  <c r="G21" i="1"/>
  <c r="F21" i="1"/>
  <c r="G20" i="1"/>
  <c r="H20" i="1"/>
  <c r="F20" i="1"/>
  <c r="H19" i="1"/>
  <c r="G19" i="1"/>
  <c r="F19" i="1"/>
  <c r="H18" i="1"/>
  <c r="G18" i="1"/>
  <c r="F18" i="1"/>
  <c r="G17" i="1"/>
  <c r="H17" i="1"/>
  <c r="F17" i="1"/>
  <c r="H16" i="1"/>
  <c r="G16" i="1"/>
  <c r="F16" i="1"/>
  <c r="E16" i="1"/>
  <c r="G15" i="1"/>
  <c r="E15" i="1"/>
  <c r="H15" i="1"/>
  <c r="F15" i="1"/>
  <c r="H14" i="1"/>
  <c r="G14" i="1"/>
  <c r="F14" i="1"/>
  <c r="H13" i="1"/>
  <c r="G13" i="1"/>
  <c r="F13" i="1"/>
  <c r="G11" i="1"/>
  <c r="G10" i="1"/>
  <c r="E10" i="1"/>
  <c r="E11" i="1"/>
  <c r="H11" i="1"/>
  <c r="F11" i="1"/>
  <c r="H10" i="1"/>
  <c r="F10" i="1"/>
  <c r="H9" i="1"/>
  <c r="G9" i="1"/>
  <c r="F9" i="1"/>
  <c r="H8" i="1"/>
  <c r="G8" i="1"/>
  <c r="F8" i="1"/>
  <c r="H12" i="1"/>
  <c r="G12" i="1"/>
  <c r="F12" i="1"/>
  <c r="H7" i="1"/>
  <c r="G7" i="1"/>
  <c r="F7" i="1"/>
  <c r="H6" i="1"/>
  <c r="G6" i="1"/>
  <c r="F6" i="1"/>
  <c r="H5" i="1"/>
  <c r="H4" i="1"/>
  <c r="G5" i="1"/>
  <c r="G4" i="1"/>
  <c r="F5" i="1"/>
  <c r="F4" i="1"/>
  <c r="E5" i="1"/>
  <c r="E4" i="1"/>
  <c r="H3" i="1"/>
  <c r="G3" i="1"/>
  <c r="F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3" i="1"/>
</calcChain>
</file>

<file path=xl/sharedStrings.xml><?xml version="1.0" encoding="utf-8"?>
<sst xmlns="http://schemas.openxmlformats.org/spreadsheetml/2006/main" count="213" uniqueCount="86">
  <si>
    <t>Model</t>
  </si>
  <si>
    <t>SRV Series Pricelist 2026</t>
  </si>
  <si>
    <t>SRV025</t>
  </si>
  <si>
    <t>PAM ( IEC )</t>
  </si>
  <si>
    <t>56B14</t>
  </si>
  <si>
    <t xml:space="preserve">Ratio ( i )  </t>
  </si>
  <si>
    <t>SRV030</t>
  </si>
  <si>
    <t>63B5</t>
  </si>
  <si>
    <t>63B14</t>
  </si>
  <si>
    <t>56B5</t>
  </si>
  <si>
    <t>0.12 , 0.18</t>
  </si>
  <si>
    <t>Power (kW)</t>
  </si>
  <si>
    <t>SRV040</t>
  </si>
  <si>
    <t>71B5</t>
  </si>
  <si>
    <t>71B14</t>
  </si>
  <si>
    <t>0.25 , 0.37</t>
  </si>
  <si>
    <t>50-100</t>
  </si>
  <si>
    <t>SRV050</t>
  </si>
  <si>
    <t>80B5</t>
  </si>
  <si>
    <t>80B14</t>
  </si>
  <si>
    <t>0.55,0.75</t>
  </si>
  <si>
    <t>SRV063</t>
  </si>
  <si>
    <t>90B5</t>
  </si>
  <si>
    <t>90B14</t>
  </si>
  <si>
    <t>1.1 , 1.5</t>
  </si>
  <si>
    <t>SRV075</t>
  </si>
  <si>
    <t>100/112B5</t>
  </si>
  <si>
    <t>100/112B14</t>
  </si>
  <si>
    <t>2.2 , 3 , 4</t>
  </si>
  <si>
    <t>20-100</t>
  </si>
  <si>
    <t>SRV090</t>
  </si>
  <si>
    <t>40-100</t>
  </si>
  <si>
    <t>SRV110</t>
  </si>
  <si>
    <t>25-100</t>
  </si>
  <si>
    <t>132B5</t>
  </si>
  <si>
    <t>5.5 , 7.5</t>
  </si>
  <si>
    <t>SRV130</t>
  </si>
  <si>
    <t>SRV150</t>
  </si>
  <si>
    <t>80-100</t>
  </si>
  <si>
    <t>20-50</t>
  </si>
  <si>
    <t>160B5</t>
  </si>
  <si>
    <t>11 , 15</t>
  </si>
  <si>
    <t>Ratio = 5 ,7.5, 10 , 15 , 20 , 25 , 30 , 40 , 50 , 60 , 80 , 100</t>
  </si>
  <si>
    <t>5-60</t>
  </si>
  <si>
    <t>5-50</t>
  </si>
  <si>
    <t>5-80</t>
  </si>
  <si>
    <t>5-40</t>
  </si>
  <si>
    <t>5-100</t>
  </si>
  <si>
    <t>5-30</t>
  </si>
  <si>
    <t>5-15</t>
  </si>
  <si>
    <t>5-20</t>
  </si>
  <si>
    <t>SRV</t>
  </si>
  <si>
    <t>Output flange</t>
  </si>
  <si>
    <t>F1</t>
  </si>
  <si>
    <t>F2</t>
  </si>
  <si>
    <t>Input flange</t>
  </si>
  <si>
    <t xml:space="preserve">Size </t>
  </si>
  <si>
    <t>Price</t>
  </si>
  <si>
    <t>Input shaft</t>
  </si>
  <si>
    <t>Torque Arm</t>
  </si>
  <si>
    <t xml:space="preserve">Description </t>
  </si>
  <si>
    <t>Ex. Model : SRV050-25-80B5</t>
  </si>
  <si>
    <t>Ex. Model-Ratio-PAM</t>
  </si>
  <si>
    <t>56B14 = 80 , 65 , 50 , 9</t>
  </si>
  <si>
    <t>P , M , N , D ( mm )</t>
  </si>
  <si>
    <t>56B5 = 120 , 100 , 80 , 9</t>
  </si>
  <si>
    <t>63B5 = 140 , 115 , 95 , 11</t>
  </si>
  <si>
    <t>63B14 = 90 , 75 , 60 , 11</t>
  </si>
  <si>
    <t>71B5 = 160 , 130 , 110 , 14</t>
  </si>
  <si>
    <t>71B14 = 105 , 85 , 70 , 14</t>
  </si>
  <si>
    <t>80B5 = 200 , 165 , 130 , 19</t>
  </si>
  <si>
    <t>80B14 = 120 , 100 , 80 , 19</t>
  </si>
  <si>
    <t>90B5 = 200 , 165 , 130 , 24</t>
  </si>
  <si>
    <t>90B14 = 140 , 115 , 95 , 24</t>
  </si>
  <si>
    <t>100/112B5 = 250 , 215 , 180 , 28</t>
  </si>
  <si>
    <t>100/112B14 = 160 , 130 , 110 , 28</t>
  </si>
  <si>
    <t>132B5 = 300 , 265 , 230 , 38</t>
  </si>
  <si>
    <t>160B5 = 350 , 300 , 250 , 42</t>
  </si>
  <si>
    <t>Gear Type</t>
  </si>
  <si>
    <t>SRVL</t>
  </si>
  <si>
    <t>SRVS</t>
  </si>
  <si>
    <t>SRVLS</t>
  </si>
  <si>
    <t>Output shaft</t>
  </si>
  <si>
    <t>A1</t>
  </si>
  <si>
    <t>A2</t>
  </si>
  <si>
    <r>
      <t xml:space="preserve">SRV Series / Worm gear / Hollow Shaft / </t>
    </r>
    <r>
      <rPr>
        <sz val="10"/>
        <color rgb="FFFF0000"/>
        <rFont val="Arial"/>
        <family val="2"/>
      </rPr>
      <t>Flange B5</t>
    </r>
    <r>
      <rPr>
        <sz val="10"/>
        <rFont val="Arial"/>
        <family val="2"/>
      </rPr>
      <t xml:space="preserve"> Ratio : </t>
    </r>
    <r>
      <rPr>
        <sz val="10"/>
        <color rgb="FFFF0000"/>
        <rFont val="Arial"/>
        <family val="2"/>
      </rPr>
      <t>1/25</t>
    </r>
    <r>
      <rPr>
        <sz val="10"/>
        <rFont val="Arial"/>
      </rPr>
      <t xml:space="preserve"> , ( P ) I/P flange dia. </t>
    </r>
    <r>
      <rPr>
        <sz val="10"/>
        <color rgb="FFFF0000"/>
        <rFont val="Arial"/>
        <family val="2"/>
      </rPr>
      <t>200</t>
    </r>
    <r>
      <rPr>
        <sz val="10"/>
        <rFont val="Arial"/>
      </rPr>
      <t xml:space="preserve"> mm,(D) I/P shaft dia. </t>
    </r>
    <r>
      <rPr>
        <sz val="10"/>
        <color rgb="FFFF0000"/>
        <rFont val="Arial"/>
        <family val="2"/>
      </rPr>
      <t>19</t>
    </r>
    <r>
      <rPr>
        <sz val="10"/>
        <rFont val="Arial"/>
      </rPr>
      <t xml:space="preserve">mm , O/P shaft dia. </t>
    </r>
    <r>
      <rPr>
        <sz val="10"/>
        <color rgb="FFFF0000"/>
        <rFont val="Tahoma"/>
        <family val="2"/>
      </rPr>
      <t>Ø</t>
    </r>
    <r>
      <rPr>
        <sz val="12.7"/>
        <color rgb="FFFF0000"/>
        <rFont val="Arial"/>
        <family val="2"/>
      </rPr>
      <t>25 mm.</t>
    </r>
    <r>
      <rPr>
        <sz val="10"/>
        <rFont val="Arial"/>
        <family val="2"/>
      </rPr>
      <t xml:space="preserve">                             </t>
    </r>
    <r>
      <rPr>
        <sz val="10"/>
        <color rgb="FFFF0000"/>
        <rFont val="Arial"/>
        <family val="2"/>
      </rPr>
      <t xml:space="preserve">**จุดสีแดงต้องเปลี่ยนตาม Model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</si>
</sst>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2.7"/>
      <color rgb="FFFF0000"/>
      <name val="Arial"/>
      <family val="2"/>
    </font>
    <font>
      <b/>
      <sz val="18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0" fillId="0" borderId="0" xfId="0" applyNumberFormat="1"/>
    <xf numFmtId="0" fontId="2" fillId="0" borderId="1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9" xfId="0" quotePrefix="1" applyFont="1" applyFill="1" applyBorder="1" applyAlignment="1">
      <alignment horizontal="center" vertical="center"/>
    </xf>
    <xf numFmtId="0" fontId="6" fillId="4" borderId="4" xfId="0" quotePrefix="1" applyFont="1" applyFill="1" applyBorder="1" applyAlignment="1">
      <alignment horizontal="center" vertical="center"/>
    </xf>
    <xf numFmtId="0" fontId="6" fillId="4" borderId="3" xfId="0" quotePrefix="1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0" fontId="9" fillId="5" borderId="2" xfId="0" quotePrefix="1" applyFont="1" applyFill="1" applyBorder="1" applyAlignment="1">
      <alignment horizontal="center" vertical="center"/>
    </xf>
    <xf numFmtId="0" fontId="9" fillId="5" borderId="0" xfId="0" quotePrefix="1" applyFont="1" applyFill="1" applyBorder="1" applyAlignment="1">
      <alignment horizontal="center" vertical="center"/>
    </xf>
    <xf numFmtId="0" fontId="10" fillId="5" borderId="5" xfId="0" quotePrefix="1" applyFont="1" applyFill="1" applyBorder="1" applyAlignment="1">
      <alignment horizontal="center" vertical="center"/>
    </xf>
    <xf numFmtId="0" fontId="10" fillId="5" borderId="7" xfId="0" quotePrefix="1" applyFont="1" applyFill="1" applyBorder="1" applyAlignment="1">
      <alignment horizontal="center" vertical="center"/>
    </xf>
    <xf numFmtId="0" fontId="10" fillId="5" borderId="6" xfId="0" quotePrefix="1" applyFont="1" applyFill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15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6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559395</xdr:colOff>
      <xdr:row>11</xdr:row>
      <xdr:rowOff>150000</xdr:rowOff>
    </xdr:from>
    <xdr:to>
      <xdr:col>8</xdr:col>
      <xdr:colOff>2602408</xdr:colOff>
      <xdr:row>20</xdr:row>
      <xdr:rowOff>65000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F0B9B32B-5F65-7738-0075-CBBD37D1F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9395" y="2515000"/>
          <a:ext cx="2043013" cy="1580000"/>
        </a:xfrm>
        <a:prstGeom prst="rect">
          <a:avLst/>
        </a:prstGeom>
        <a:ln w="381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0</xdr:col>
      <xdr:colOff>470000</xdr:colOff>
      <xdr:row>47</xdr:row>
      <xdr:rowOff>70000</xdr:rowOff>
    </xdr:from>
    <xdr:to>
      <xdr:col>3</xdr:col>
      <xdr:colOff>366193</xdr:colOff>
      <xdr:row>57</xdr:row>
      <xdr:rowOff>112397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9AE0667A-F29F-D538-13BC-D1F043C88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000" y="9095000"/>
          <a:ext cx="1816193" cy="1892397"/>
        </a:xfrm>
        <a:prstGeom prst="rect">
          <a:avLst/>
        </a:prstGeom>
      </xdr:spPr>
    </xdr:pic>
    <xdr:clientData/>
  </xdr:twoCellAnchor>
  <xdr:twoCellAnchor editAs="oneCell">
    <xdr:from>
      <xdr:col>4</xdr:col>
      <xdr:colOff>355000</xdr:colOff>
      <xdr:row>47</xdr:row>
      <xdr:rowOff>115000</xdr:rowOff>
    </xdr:from>
    <xdr:to>
      <xdr:col>7</xdr:col>
      <xdr:colOff>319295</xdr:colOff>
      <xdr:row>57</xdr:row>
      <xdr:rowOff>131996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51BAFD3C-868F-242E-4EF6-FAECB6660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5000" y="9140000"/>
          <a:ext cx="1854295" cy="1866996"/>
        </a:xfrm>
        <a:prstGeom prst="rect">
          <a:avLst/>
        </a:prstGeom>
      </xdr:spPr>
    </xdr:pic>
    <xdr:clientData/>
  </xdr:twoCellAnchor>
  <xdr:twoCellAnchor editAs="oneCell">
    <xdr:from>
      <xdr:col>8</xdr:col>
      <xdr:colOff>650000</xdr:colOff>
      <xdr:row>47</xdr:row>
      <xdr:rowOff>120000</xdr:rowOff>
    </xdr:from>
    <xdr:to>
      <xdr:col>8</xdr:col>
      <xdr:colOff>2447142</xdr:colOff>
      <xdr:row>57</xdr:row>
      <xdr:rowOff>98894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E9E1D782-A3CE-C42F-C89C-F7643254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0000" y="9145000"/>
          <a:ext cx="1797142" cy="1828894"/>
        </a:xfrm>
        <a:prstGeom prst="rect">
          <a:avLst/>
        </a:prstGeom>
      </xdr:spPr>
    </xdr:pic>
    <xdr:clientData/>
  </xdr:twoCellAnchor>
  <xdr:twoCellAnchor editAs="oneCell">
    <xdr:from>
      <xdr:col>9</xdr:col>
      <xdr:colOff>90000</xdr:colOff>
      <xdr:row>47</xdr:row>
      <xdr:rowOff>80000</xdr:rowOff>
    </xdr:from>
    <xdr:to>
      <xdr:col>11</xdr:col>
      <xdr:colOff>676047</xdr:colOff>
      <xdr:row>57</xdr:row>
      <xdr:rowOff>116047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68FD4BF8-55E1-FCA1-254B-179FA0382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5000" y="9105000"/>
          <a:ext cx="1886047" cy="1886047"/>
        </a:xfrm>
        <a:prstGeom prst="rect">
          <a:avLst/>
        </a:prstGeom>
      </xdr:spPr>
    </xdr:pic>
    <xdr:clientData/>
  </xdr:twoCellAnchor>
  <xdr:twoCellAnchor editAs="oneCell">
    <xdr:from>
      <xdr:col>12</xdr:col>
      <xdr:colOff>215000</xdr:colOff>
      <xdr:row>47</xdr:row>
      <xdr:rowOff>54386</xdr:rowOff>
    </xdr:from>
    <xdr:to>
      <xdr:col>14</xdr:col>
      <xdr:colOff>285000</xdr:colOff>
      <xdr:row>57</xdr:row>
      <xdr:rowOff>125789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475601C7-1449-6CFD-A662-C517AED6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50000" y="9079386"/>
          <a:ext cx="1480000" cy="1921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0"/>
  <sheetViews>
    <sheetView tabSelected="1" view="pageBreakPreview" zoomScale="127" zoomScaleNormal="100" workbookViewId="0">
      <pane ySplit="2" topLeftCell="A3" activePane="bottomLeft" state="frozen"/>
      <selection pane="bottomLeft" activeCell="E6" sqref="E6"/>
    </sheetView>
  </sheetViews>
  <sheetFormatPr defaultRowHeight="14.5" x14ac:dyDescent="0.35"/>
  <cols>
    <col min="3" max="3" width="10" customWidth="1"/>
    <col min="4" max="4" width="11.453125" customWidth="1"/>
    <col min="5" max="8" width="9" customWidth="1"/>
    <col min="9" max="9" width="45.90625" customWidth="1"/>
    <col min="10" max="10" width="10.54296875" bestFit="1" customWidth="1"/>
    <col min="11" max="11" width="8.08984375" customWidth="1"/>
    <col min="12" max="12" width="9.90625" bestFit="1" customWidth="1"/>
    <col min="13" max="13" width="10.81640625" bestFit="1" customWidth="1"/>
    <col min="14" max="17" width="9.36328125" bestFit="1" customWidth="1"/>
  </cols>
  <sheetData>
    <row r="1" spans="1:42" ht="30" customHeight="1" x14ac:dyDescent="0.35">
      <c r="C1" s="11" t="s">
        <v>1</v>
      </c>
      <c r="D1" s="12"/>
      <c r="E1" s="12"/>
      <c r="F1" s="12"/>
      <c r="G1" s="12"/>
      <c r="H1" s="12"/>
      <c r="J1" s="15" t="s">
        <v>55</v>
      </c>
      <c r="K1" s="16"/>
      <c r="L1" s="17" t="s">
        <v>58</v>
      </c>
      <c r="M1" s="17" t="s">
        <v>59</v>
      </c>
      <c r="N1" s="15" t="s">
        <v>52</v>
      </c>
      <c r="O1" s="16"/>
      <c r="P1" s="15" t="s">
        <v>82</v>
      </c>
      <c r="Q1" s="16"/>
    </row>
    <row r="2" spans="1:42" ht="25" customHeight="1" x14ac:dyDescent="0.35">
      <c r="A2" s="1" t="s">
        <v>0</v>
      </c>
      <c r="B2" s="1" t="s">
        <v>5</v>
      </c>
      <c r="C2" s="49" t="s">
        <v>3</v>
      </c>
      <c r="D2" s="1" t="s">
        <v>11</v>
      </c>
      <c r="E2" s="1" t="s">
        <v>51</v>
      </c>
      <c r="F2" s="58" t="s">
        <v>79</v>
      </c>
      <c r="G2" s="58" t="s">
        <v>80</v>
      </c>
      <c r="H2" s="58" t="s">
        <v>81</v>
      </c>
      <c r="I2" s="1" t="s">
        <v>42</v>
      </c>
      <c r="J2" s="13" t="s">
        <v>56</v>
      </c>
      <c r="K2" s="13" t="s">
        <v>57</v>
      </c>
      <c r="L2" s="13" t="s">
        <v>57</v>
      </c>
      <c r="M2" s="13" t="s">
        <v>57</v>
      </c>
      <c r="N2" s="13" t="s">
        <v>53</v>
      </c>
      <c r="O2" s="13" t="s">
        <v>54</v>
      </c>
      <c r="P2" s="57" t="s">
        <v>83</v>
      </c>
      <c r="Q2" s="57" t="s">
        <v>84</v>
      </c>
    </row>
    <row r="3" spans="1:42" x14ac:dyDescent="0.35">
      <c r="A3" s="8" t="s">
        <v>2</v>
      </c>
      <c r="B3" s="8" t="s">
        <v>43</v>
      </c>
      <c r="C3" s="9" t="s">
        <v>4</v>
      </c>
      <c r="D3" s="10">
        <v>0.09</v>
      </c>
      <c r="E3" s="64">
        <v>1510</v>
      </c>
      <c r="F3" s="65">
        <f>(15+2.7)*32*1.25*1.1*1.1*1.85</f>
        <v>1584.8580000000004</v>
      </c>
      <c r="G3" s="65">
        <f>(15+1.8+2)*32*1.25*1.1*1.1*1.85</f>
        <v>1683.3520000000003</v>
      </c>
      <c r="H3" s="65">
        <f>(15+2.7+2.7)*32*1.25*1.1*1.1*1.85</f>
        <v>1826.6160000000002</v>
      </c>
      <c r="I3" s="3"/>
      <c r="J3" s="14" t="str">
        <f>C3</f>
        <v>56B14</v>
      </c>
      <c r="K3" s="14"/>
      <c r="L3" s="14"/>
      <c r="M3" s="14">
        <v>135</v>
      </c>
      <c r="N3" s="63">
        <f>1.3*32*1.25*1.1*1.1*1.85</f>
        <v>116.40200000000002</v>
      </c>
      <c r="O3" s="63">
        <f t="shared" ref="O3:Q3" si="0">1.3*32*1.25*1.1*1.1*1.85</f>
        <v>116.40200000000002</v>
      </c>
      <c r="P3" s="63">
        <f>1.8*32*1.25*1.1*1.1*1.85</f>
        <v>161.17200000000003</v>
      </c>
      <c r="Q3" s="63">
        <f>2*32*1.25*1.1*1.1*1.85</f>
        <v>179.08000000000004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x14ac:dyDescent="0.35">
      <c r="A4" s="8" t="s">
        <v>6</v>
      </c>
      <c r="B4" s="8" t="s">
        <v>44</v>
      </c>
      <c r="C4" s="9" t="s">
        <v>7</v>
      </c>
      <c r="D4" s="10" t="s">
        <v>10</v>
      </c>
      <c r="E4" s="64">
        <f>(16.2+2)*32*1.25*1.1*1.1*1.85</f>
        <v>1629.6280000000004</v>
      </c>
      <c r="F4" s="65">
        <f>(16.2+3)*32*1.25*1.1*1.1*1.85</f>
        <v>1719.1680000000003</v>
      </c>
      <c r="G4" s="65">
        <f>(16.2+2+3)*32*1.25*1.1*1.1*1.85</f>
        <v>1898.2480000000003</v>
      </c>
      <c r="H4" s="65">
        <f>(16.2+3+3)*32*1.25*1.1*1.1*1.85</f>
        <v>1987.7880000000005</v>
      </c>
      <c r="I4" s="22" t="s">
        <v>60</v>
      </c>
      <c r="J4" s="14" t="str">
        <f t="shared" ref="J4:J44" si="1">C4</f>
        <v>63B5</v>
      </c>
      <c r="K4" s="14"/>
      <c r="L4" s="14"/>
      <c r="M4" s="14">
        <v>145</v>
      </c>
      <c r="N4" s="63">
        <f>1.5*32*1.25*1.1*1.1*1.85</f>
        <v>134.31000000000003</v>
      </c>
      <c r="O4" s="63">
        <f>1.5*32*1.25*1.1*1.1*1.85</f>
        <v>134.31000000000003</v>
      </c>
      <c r="P4" s="63">
        <f>1.9*32*1.25*1.1*1.1*1.85</f>
        <v>170.12600000000006</v>
      </c>
      <c r="Q4" s="63">
        <f>2.1*32*1.25*1.1*1.1*1.85</f>
        <v>188.03400000000005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x14ac:dyDescent="0.35">
      <c r="A5" s="8" t="s">
        <v>6</v>
      </c>
      <c r="B5" s="8" t="s">
        <v>44</v>
      </c>
      <c r="C5" s="9" t="s">
        <v>8</v>
      </c>
      <c r="D5" s="10" t="s">
        <v>10</v>
      </c>
      <c r="E5" s="64">
        <f>(16.2+2)*32*1.25*1.1*1.1*1.85</f>
        <v>1629.6280000000004</v>
      </c>
      <c r="F5" s="65">
        <f>(16.2+3)*32*1.25*1.1*1.1*1.85</f>
        <v>1719.1680000000003</v>
      </c>
      <c r="G5" s="65">
        <f>(16.2+2+3)*32*1.25*1.1*1.1*1.85</f>
        <v>1898.2480000000003</v>
      </c>
      <c r="H5" s="65">
        <f>(16.2+3+3)*32*1.25*1.1*1.1*1.85</f>
        <v>1987.7880000000005</v>
      </c>
      <c r="I5" s="22" t="s">
        <v>62</v>
      </c>
      <c r="J5" s="14" t="str">
        <f t="shared" si="1"/>
        <v>63B14</v>
      </c>
      <c r="K5" s="14"/>
      <c r="L5" s="14"/>
      <c r="M5" s="14">
        <v>145</v>
      </c>
      <c r="N5" s="63">
        <f>1.5*32*1.25*1.1*1.1*1.85</f>
        <v>134.31000000000003</v>
      </c>
      <c r="O5" s="63">
        <f>1.5*32*1.25*1.1*1.1*1.85</f>
        <v>134.31000000000003</v>
      </c>
      <c r="P5" s="63">
        <f>1.9*32*1.25*1.1*1.1*1.85</f>
        <v>170.12600000000006</v>
      </c>
      <c r="Q5" s="63">
        <f>2.1*32*1.25*1.1*1.1*1.85</f>
        <v>188.03400000000005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x14ac:dyDescent="0.35">
      <c r="A6" s="8" t="s">
        <v>6</v>
      </c>
      <c r="B6" s="8" t="s">
        <v>45</v>
      </c>
      <c r="C6" s="9" t="s">
        <v>9</v>
      </c>
      <c r="D6" s="10">
        <v>0.09</v>
      </c>
      <c r="E6" s="64">
        <v>1620</v>
      </c>
      <c r="F6" s="65">
        <f>(16.2+3)*32*1.25*1.1*1.1*1.85</f>
        <v>1719.1680000000003</v>
      </c>
      <c r="G6" s="65">
        <f>(16.2+1.8+3)*32*1.25*1.1*1.1*1.85</f>
        <v>1880.3400000000004</v>
      </c>
      <c r="H6" s="65">
        <f>(16.2+2.7+2.7)*32*1.25*1.1*1.1*1.85</f>
        <v>1934.0640000000003</v>
      </c>
      <c r="I6" s="23" t="s">
        <v>61</v>
      </c>
      <c r="J6" s="14" t="str">
        <f t="shared" si="1"/>
        <v>56B5</v>
      </c>
      <c r="K6" s="14"/>
      <c r="L6" s="14"/>
      <c r="M6" s="14">
        <v>145</v>
      </c>
      <c r="N6" s="63">
        <f>1.5*32*1.25*1.1*1.1*1.85</f>
        <v>134.31000000000003</v>
      </c>
      <c r="O6" s="63">
        <f>1.5*32*1.25*1.1*1.1*1.85</f>
        <v>134.31000000000003</v>
      </c>
      <c r="P6" s="63">
        <f>1.9*32*1.25*1.1*1.1*1.85</f>
        <v>170.12600000000006</v>
      </c>
      <c r="Q6" s="63">
        <f>2.1*32*1.25*1.1*1.1*1.85</f>
        <v>188.03400000000005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spans="1:42" x14ac:dyDescent="0.35">
      <c r="A7" s="8" t="s">
        <v>12</v>
      </c>
      <c r="B7" s="8" t="s">
        <v>45</v>
      </c>
      <c r="C7" s="9" t="s">
        <v>4</v>
      </c>
      <c r="D7" s="10">
        <v>0.09</v>
      </c>
      <c r="E7" s="64">
        <v>2030</v>
      </c>
      <c r="F7" s="65">
        <f>(20.4+3.3)*32*1.25*1.1*1.1*1.85</f>
        <v>2122.0980000000009</v>
      </c>
      <c r="G7" s="65">
        <f>(20.4+2.2+3.3)*32*1.25*1.1*1.1*1.85</f>
        <v>2319.0860000000002</v>
      </c>
      <c r="H7" s="65">
        <f>(20.4+3.3+3.3)*32*1.25*1.1*1.1*1.85</f>
        <v>2417.5800000000004</v>
      </c>
      <c r="I7" s="59" t="s">
        <v>85</v>
      </c>
      <c r="J7" s="14" t="str">
        <f t="shared" si="1"/>
        <v>56B14</v>
      </c>
      <c r="K7" s="14"/>
      <c r="L7" s="14"/>
      <c r="M7" s="14">
        <v>165</v>
      </c>
      <c r="N7" s="63">
        <f>1.8*32*1.25*1.1*1.1*1.85</f>
        <v>161.17200000000003</v>
      </c>
      <c r="O7" s="63">
        <f>1.8*32*1.25*1.1*1.1*1.85</f>
        <v>161.17200000000003</v>
      </c>
      <c r="P7" s="63">
        <f>2*32*1.25*1.1*1.1*1.85</f>
        <v>179.08000000000004</v>
      </c>
      <c r="Q7" s="63">
        <f>2.2*32*1.25*1.1*1.1*1.85</f>
        <v>196.98800000000006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 spans="1:42" x14ac:dyDescent="0.35">
      <c r="A8" s="8" t="s">
        <v>12</v>
      </c>
      <c r="B8" s="8" t="s">
        <v>46</v>
      </c>
      <c r="C8" s="2" t="s">
        <v>13</v>
      </c>
      <c r="D8" s="3" t="s">
        <v>15</v>
      </c>
      <c r="E8" s="64">
        <v>2070</v>
      </c>
      <c r="F8" s="65">
        <f>(20.4+3.3)*32*1.25*1.1*1.1*1.85</f>
        <v>2122.0980000000009</v>
      </c>
      <c r="G8" s="65">
        <f>(20.4+2.7+3.3)*32*1.25*1.1*1.1*1.85</f>
        <v>2363.8560000000007</v>
      </c>
      <c r="H8" s="65">
        <f>(20.4+3.3+3.3)*32*1.25*1.1*1.1*1.85</f>
        <v>2417.5800000000004</v>
      </c>
      <c r="I8" s="60"/>
      <c r="J8" s="14" t="str">
        <f t="shared" si="1"/>
        <v>71B5</v>
      </c>
      <c r="K8" s="14"/>
      <c r="L8" s="14"/>
      <c r="M8" s="14">
        <v>165</v>
      </c>
      <c r="N8" s="63">
        <f>1.8*32*1.25*1.1*1.1*1.85</f>
        <v>161.17200000000003</v>
      </c>
      <c r="O8" s="63">
        <f>1.8*32*1.25*1.1*1.1*1.85</f>
        <v>161.17200000000003</v>
      </c>
      <c r="P8" s="63">
        <f>2*32*1.25*1.1*1.1*1.85</f>
        <v>179.08000000000004</v>
      </c>
      <c r="Q8" s="63">
        <f>2.2*32*1.25*1.1*1.1*1.85</f>
        <v>196.98800000000006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42" x14ac:dyDescent="0.35">
      <c r="A9" s="8" t="s">
        <v>12</v>
      </c>
      <c r="B9" s="8" t="s">
        <v>46</v>
      </c>
      <c r="C9" s="2" t="s">
        <v>14</v>
      </c>
      <c r="D9" s="3" t="s">
        <v>15</v>
      </c>
      <c r="E9" s="64">
        <v>2070</v>
      </c>
      <c r="F9" s="65">
        <f>(20.4+3.3)*32*1.25*1.1*1.1*1.85</f>
        <v>2122.0980000000009</v>
      </c>
      <c r="G9" s="65">
        <f>(20.4+2.7+3.3)*32*1.25*1.1*1.1*1.85</f>
        <v>2363.8560000000007</v>
      </c>
      <c r="H9" s="65">
        <f>(20.4+3.3+3.3)*32*1.25*1.1*1.1*1.85</f>
        <v>2417.5800000000004</v>
      </c>
      <c r="I9" s="60"/>
      <c r="J9" s="14" t="str">
        <f t="shared" si="1"/>
        <v>71B14</v>
      </c>
      <c r="K9" s="14"/>
      <c r="L9" s="14"/>
      <c r="M9" s="14">
        <v>165</v>
      </c>
      <c r="N9" s="63">
        <f>1.8*32*1.25*1.1*1.1*1.85</f>
        <v>161.17200000000003</v>
      </c>
      <c r="O9" s="63">
        <f>1.8*32*1.25*1.1*1.1*1.85</f>
        <v>161.17200000000003</v>
      </c>
      <c r="P9" s="63">
        <f>2*32*1.25*1.1*1.1*1.85</f>
        <v>179.08000000000004</v>
      </c>
      <c r="Q9" s="63">
        <f>2.2*32*1.25*1.1*1.1*1.85</f>
        <v>196.98800000000006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42" x14ac:dyDescent="0.35">
      <c r="A10" s="8" t="s">
        <v>12</v>
      </c>
      <c r="B10" s="8" t="s">
        <v>47</v>
      </c>
      <c r="C10" s="9" t="s">
        <v>7</v>
      </c>
      <c r="D10" s="10" t="s">
        <v>10</v>
      </c>
      <c r="E10" s="64">
        <f>(20.4+2.5)*32*1.25*1.1*1.1*1.85</f>
        <v>2050.4660000000003</v>
      </c>
      <c r="F10" s="65">
        <f>(20.4+3.3)*32*1.25*1.1*1.1*1.85</f>
        <v>2122.0980000000009</v>
      </c>
      <c r="G10" s="65">
        <f>(20.4+2.5+3.3)*32*1.25*1.1*1.1*1.85</f>
        <v>2345.9480000000008</v>
      </c>
      <c r="H10" s="65">
        <f>(20.4+3.3+3.3)*32*1.25*1.1*1.1*1.85</f>
        <v>2417.5800000000004</v>
      </c>
      <c r="I10" s="60"/>
      <c r="J10" s="14" t="str">
        <f t="shared" si="1"/>
        <v>63B5</v>
      </c>
      <c r="K10" s="14"/>
      <c r="L10" s="14"/>
      <c r="M10" s="14">
        <v>165</v>
      </c>
      <c r="N10" s="63">
        <f>1.8*32*1.25*1.1*1.1*1.85</f>
        <v>161.17200000000003</v>
      </c>
      <c r="O10" s="63">
        <f>1.8*32*1.25*1.1*1.1*1.85</f>
        <v>161.17200000000003</v>
      </c>
      <c r="P10" s="63">
        <f>2*32*1.25*1.1*1.1*1.85</f>
        <v>179.08000000000004</v>
      </c>
      <c r="Q10" s="63">
        <f>2.2*32*1.25*1.1*1.1*1.85</f>
        <v>196.98800000000006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spans="1:42" x14ac:dyDescent="0.35">
      <c r="A11" s="8" t="s">
        <v>12</v>
      </c>
      <c r="B11" s="8" t="s">
        <v>47</v>
      </c>
      <c r="C11" s="9" t="s">
        <v>8</v>
      </c>
      <c r="D11" s="10" t="s">
        <v>10</v>
      </c>
      <c r="E11" s="64">
        <f>(20.4+2.5)*32*1.25*1.1*1.1*1.85</f>
        <v>2050.4660000000003</v>
      </c>
      <c r="F11" s="65">
        <f>(20.4+3.3)*32*1.25*1.1*1.1*1.85</f>
        <v>2122.0980000000009</v>
      </c>
      <c r="G11" s="65">
        <f>(20.4+2.5+3.3)*32*1.25*1.1*1.1*1.85</f>
        <v>2345.9480000000008</v>
      </c>
      <c r="H11" s="65">
        <f>(20.4+3.3+3.3)*32*1.25*1.1*1.1*1.85</f>
        <v>2417.5800000000004</v>
      </c>
      <c r="I11" s="61"/>
      <c r="J11" s="14" t="str">
        <f t="shared" si="1"/>
        <v>63B14</v>
      </c>
      <c r="K11" s="14"/>
      <c r="L11" s="14"/>
      <c r="M11" s="14">
        <v>165</v>
      </c>
      <c r="N11" s="63">
        <f>1.8*32*1.25*1.1*1.1*1.85</f>
        <v>161.17200000000003</v>
      </c>
      <c r="O11" s="63">
        <f>1.8*32*1.25*1.1*1.1*1.85</f>
        <v>161.17200000000003</v>
      </c>
      <c r="P11" s="63">
        <f>2*32*1.25*1.1*1.1*1.85</f>
        <v>179.08000000000004</v>
      </c>
      <c r="Q11" s="63">
        <f>2.2*32*1.25*1.1*1.1*1.85</f>
        <v>196.98800000000006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 x14ac:dyDescent="0.35">
      <c r="A12" s="8" t="s">
        <v>12</v>
      </c>
      <c r="B12" s="8" t="s">
        <v>16</v>
      </c>
      <c r="C12" s="9" t="s">
        <v>9</v>
      </c>
      <c r="D12" s="3">
        <v>0.09</v>
      </c>
      <c r="E12" s="64">
        <v>2030</v>
      </c>
      <c r="F12" s="65">
        <f>(20.4+3.3)*32*1.25*1.1*1.1*1.85</f>
        <v>2122.0980000000009</v>
      </c>
      <c r="G12" s="65">
        <f>(20.4+2.2+3.3)*32*1.25*1.1*1.1*1.85</f>
        <v>2319.0860000000002</v>
      </c>
      <c r="H12" s="65">
        <f>(20.4+3.3+3.3)*32*1.25*1.1*1.1*1.85</f>
        <v>2417.5800000000004</v>
      </c>
      <c r="I12" s="20"/>
      <c r="J12" s="14" t="str">
        <f t="shared" si="1"/>
        <v>56B5</v>
      </c>
      <c r="K12" s="14"/>
      <c r="L12" s="14"/>
      <c r="M12" s="14">
        <v>165</v>
      </c>
      <c r="N12" s="63">
        <f>1.8*32*1.25*1.1*1.1*1.85</f>
        <v>161.17200000000003</v>
      </c>
      <c r="O12" s="63">
        <f>1.8*32*1.25*1.1*1.1*1.85</f>
        <v>161.17200000000003</v>
      </c>
      <c r="P12" s="63">
        <f>2*32*1.25*1.1*1.1*1.85</f>
        <v>179.08000000000004</v>
      </c>
      <c r="Q12" s="63">
        <f>2.2*32*1.25*1.1*1.1*1.85</f>
        <v>196.98800000000006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spans="1:42" x14ac:dyDescent="0.35">
      <c r="A13" s="8" t="s">
        <v>17</v>
      </c>
      <c r="B13" s="8" t="s">
        <v>48</v>
      </c>
      <c r="C13" s="9" t="s">
        <v>18</v>
      </c>
      <c r="D13" s="3" t="s">
        <v>20</v>
      </c>
      <c r="E13" s="64">
        <v>3050</v>
      </c>
      <c r="F13" s="65">
        <f>(30.8+4.9)*32*1.25*1.1*1.1*1.85</f>
        <v>3196.5780000000009</v>
      </c>
      <c r="G13" s="65">
        <f>(30.8+3.2+4.9)*32*1.25*1.1*1.1*1.85</f>
        <v>3483.1060000000007</v>
      </c>
      <c r="H13" s="65">
        <f>(30.8+4.9+4.9)*32*1.25*1.1*1.1*1.85</f>
        <v>3635.3240000000005</v>
      </c>
      <c r="I13" s="21"/>
      <c r="J13" s="14" t="str">
        <f t="shared" si="1"/>
        <v>80B5</v>
      </c>
      <c r="K13" s="14"/>
      <c r="L13" s="14"/>
      <c r="M13" s="14">
        <v>190</v>
      </c>
      <c r="N13" s="63">
        <f>2.3*32*1.25*1.1*1.1*1.85</f>
        <v>205.94200000000004</v>
      </c>
      <c r="O13" s="63">
        <f>2.3*32*1.25*1.1*1.1*1.85</f>
        <v>205.94200000000004</v>
      </c>
      <c r="P13" s="63">
        <f>2.7*32*1.25*1.1*1.1*1.85</f>
        <v>241.75800000000007</v>
      </c>
      <c r="Q13" s="63">
        <f>3.2*32*1.25*1.1*1.1*1.85</f>
        <v>286.52800000000008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spans="1:42" x14ac:dyDescent="0.35">
      <c r="A14" s="8" t="s">
        <v>17</v>
      </c>
      <c r="B14" s="8" t="s">
        <v>48</v>
      </c>
      <c r="C14" s="9" t="s">
        <v>19</v>
      </c>
      <c r="D14" s="3" t="s">
        <v>20</v>
      </c>
      <c r="E14" s="64">
        <v>3050</v>
      </c>
      <c r="F14" s="65">
        <f>(30.8+4.9)*32*1.25*1.1*1.1*1.85</f>
        <v>3196.5780000000009</v>
      </c>
      <c r="G14" s="65">
        <f>(30.8+3.2+4.9)*32*1.25*1.1*1.1*1.85</f>
        <v>3483.1060000000007</v>
      </c>
      <c r="H14" s="65">
        <f>(30.8+4.9+4.9)*32*1.25*1.1*1.1*1.85</f>
        <v>3635.3240000000005</v>
      </c>
      <c r="I14" s="21"/>
      <c r="J14" s="14" t="str">
        <f t="shared" si="1"/>
        <v>80B14</v>
      </c>
      <c r="K14" s="14"/>
      <c r="L14" s="14"/>
      <c r="M14" s="14">
        <v>190</v>
      </c>
      <c r="N14" s="63">
        <f>2.3*32*1.25*1.1*1.1*1.85</f>
        <v>205.94200000000004</v>
      </c>
      <c r="O14" s="63">
        <f>2.3*32*1.25*1.1*1.1*1.85</f>
        <v>205.94200000000004</v>
      </c>
      <c r="P14" s="63">
        <f>2.7*32*1.25*1.1*1.1*1.85</f>
        <v>241.75800000000007</v>
      </c>
      <c r="Q14" s="63">
        <f>3.2*32*1.25*1.1*1.1*1.85</f>
        <v>286.52800000000008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spans="1:42" x14ac:dyDescent="0.35">
      <c r="A15" s="8" t="s">
        <v>17</v>
      </c>
      <c r="B15" s="8" t="s">
        <v>45</v>
      </c>
      <c r="C15" s="2" t="s">
        <v>13</v>
      </c>
      <c r="D15" s="3" t="s">
        <v>15</v>
      </c>
      <c r="E15" s="64">
        <f>(30.8+2.7)*32*1.25*1.1*1.1*1.85</f>
        <v>2999.5900000000006</v>
      </c>
      <c r="F15" s="65">
        <f>(30.8+4.9)*32*1.25*1.1*1.1*1.85</f>
        <v>3196.5780000000009</v>
      </c>
      <c r="G15" s="65">
        <f>(30.8+2.7+4.9)*32*1.25*1.1*1.1*1.85</f>
        <v>3438.3360000000007</v>
      </c>
      <c r="H15" s="65">
        <f>(30.8+4.9+4.9)*32*1.25*1.1*1.1*1.85</f>
        <v>3635.3240000000005</v>
      </c>
      <c r="I15" s="21"/>
      <c r="J15" s="14" t="str">
        <f t="shared" si="1"/>
        <v>71B5</v>
      </c>
      <c r="K15" s="14"/>
      <c r="L15" s="14"/>
      <c r="M15" s="14">
        <v>190</v>
      </c>
      <c r="N15" s="63">
        <f>2.3*32*1.25*1.1*1.1*1.85</f>
        <v>205.94200000000004</v>
      </c>
      <c r="O15" s="63">
        <f>2.3*32*1.25*1.1*1.1*1.85</f>
        <v>205.94200000000004</v>
      </c>
      <c r="P15" s="63">
        <f>2.7*32*1.25*1.1*1.1*1.85</f>
        <v>241.75800000000007</v>
      </c>
      <c r="Q15" s="63">
        <f>3.2*32*1.25*1.1*1.1*1.85</f>
        <v>286.52800000000008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x14ac:dyDescent="0.35">
      <c r="A16" s="8" t="s">
        <v>17</v>
      </c>
      <c r="B16" s="8" t="s">
        <v>45</v>
      </c>
      <c r="C16" s="2" t="s">
        <v>14</v>
      </c>
      <c r="D16" s="3" t="s">
        <v>15</v>
      </c>
      <c r="E16" s="64">
        <f>(30.8+2.7)*32*1.25*1.1*1.1*1.85</f>
        <v>2999.5900000000006</v>
      </c>
      <c r="F16" s="65">
        <f>(30.8+4.9)*32*1.25*1.1*1.1*1.85</f>
        <v>3196.5780000000009</v>
      </c>
      <c r="G16" s="65">
        <f>(30.8+2.7+4.9)*32*1.25*1.1*1.1*1.85</f>
        <v>3438.3360000000007</v>
      </c>
      <c r="H16" s="65">
        <f>(30.8+4.9+4.9)*32*1.25*1.1*1.1*1.85</f>
        <v>3635.3240000000005</v>
      </c>
      <c r="I16" s="21"/>
      <c r="J16" s="14" t="str">
        <f t="shared" si="1"/>
        <v>71B14</v>
      </c>
      <c r="K16" s="14"/>
      <c r="L16" s="14"/>
      <c r="M16" s="14">
        <v>190</v>
      </c>
      <c r="N16" s="63">
        <f>2.3*32*1.25*1.1*1.1*1.85</f>
        <v>205.94200000000004</v>
      </c>
      <c r="O16" s="63">
        <f>2.3*32*1.25*1.1*1.1*1.85</f>
        <v>205.94200000000004</v>
      </c>
      <c r="P16" s="63">
        <f>2.7*32*1.25*1.1*1.1*1.85</f>
        <v>241.75800000000007</v>
      </c>
      <c r="Q16" s="63">
        <f>3.2*32*1.25*1.1*1.1*1.85</f>
        <v>286.52800000000008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spans="1:42" x14ac:dyDescent="0.35">
      <c r="A17" s="8" t="s">
        <v>17</v>
      </c>
      <c r="B17" s="8" t="s">
        <v>16</v>
      </c>
      <c r="C17" s="9" t="s">
        <v>7</v>
      </c>
      <c r="D17" s="10" t="s">
        <v>10</v>
      </c>
      <c r="E17" s="64">
        <v>2980</v>
      </c>
      <c r="F17" s="65">
        <f>(30.8+4.9)*32*1.25*1.1*1.1*1.85</f>
        <v>3196.5780000000009</v>
      </c>
      <c r="G17" s="65">
        <f>(30.8+2.5+4.9)*32*1.25*1.1*1.1*1.85</f>
        <v>3420.4280000000003</v>
      </c>
      <c r="H17" s="65">
        <f>(30.8+4.9+4.9)*32*1.25*1.1*1.1*1.85</f>
        <v>3635.3240000000005</v>
      </c>
      <c r="I17" s="21"/>
      <c r="J17" s="14" t="str">
        <f t="shared" si="1"/>
        <v>63B5</v>
      </c>
      <c r="K17" s="14"/>
      <c r="L17" s="14"/>
      <c r="M17" s="14">
        <v>190</v>
      </c>
      <c r="N17" s="63">
        <f>2.3*32*1.25*1.1*1.1*1.85</f>
        <v>205.94200000000004</v>
      </c>
      <c r="O17" s="63">
        <f>2.3*32*1.25*1.1*1.1*1.85</f>
        <v>205.94200000000004</v>
      </c>
      <c r="P17" s="63">
        <f>2.7*32*1.25*1.1*1.1*1.85</f>
        <v>241.75800000000007</v>
      </c>
      <c r="Q17" s="63">
        <f>3.2*32*1.25*1.1*1.1*1.85</f>
        <v>286.52800000000008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spans="1:42" x14ac:dyDescent="0.35">
      <c r="A18" s="8" t="s">
        <v>21</v>
      </c>
      <c r="B18" s="8" t="s">
        <v>46</v>
      </c>
      <c r="C18" s="9" t="s">
        <v>22</v>
      </c>
      <c r="D18" s="3" t="s">
        <v>24</v>
      </c>
      <c r="E18" s="64">
        <v>3710</v>
      </c>
      <c r="F18" s="65">
        <f>(37.6+5.9)*32*1.25*1.1*1.1*1.85</f>
        <v>3894.9900000000011</v>
      </c>
      <c r="G18" s="65">
        <f>(37.6+3.8+5.9)*32*1.25*1.1*1.1*1.85</f>
        <v>4235.2420000000011</v>
      </c>
      <c r="H18" s="65">
        <f>(37.6+5.9+5.9)*32*1.25*1.1*1.1*1.85</f>
        <v>4423.2760000000007</v>
      </c>
      <c r="I18" s="21"/>
      <c r="J18" s="14" t="str">
        <f t="shared" si="1"/>
        <v>90B5</v>
      </c>
      <c r="K18" s="14"/>
      <c r="L18" s="14"/>
      <c r="M18" s="14">
        <v>280</v>
      </c>
      <c r="N18" s="63">
        <f>2.9*32*1.25*1.1*1.1*1.85</f>
        <v>259.66600000000005</v>
      </c>
      <c r="O18" s="63">
        <f>2.9*32*1.25*1.1*1.1*1.85</f>
        <v>259.66600000000005</v>
      </c>
      <c r="P18" s="63">
        <f>3.2*32*1.25*1.1*1.1*1.85</f>
        <v>286.52800000000008</v>
      </c>
      <c r="Q18" s="63">
        <f>3.5*32*1.25*1.1*1.1*1.85</f>
        <v>313.39000000000004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spans="1:42" x14ac:dyDescent="0.35">
      <c r="A19" s="8" t="s">
        <v>21</v>
      </c>
      <c r="B19" s="8" t="s">
        <v>46</v>
      </c>
      <c r="C19" s="9" t="s">
        <v>23</v>
      </c>
      <c r="D19" s="3" t="s">
        <v>24</v>
      </c>
      <c r="E19" s="64">
        <v>3710</v>
      </c>
      <c r="F19" s="65">
        <f>(37.6+5.9)*32*1.25*1.1*1.1*1.85</f>
        <v>3894.9900000000011</v>
      </c>
      <c r="G19" s="65">
        <f>(37.6+3.8+5.9)*32*1.25*1.1*1.1*1.85</f>
        <v>4235.2420000000011</v>
      </c>
      <c r="H19" s="65">
        <f>(37.6+5.9+5.9)*32*1.25*1.1*1.1*1.85</f>
        <v>4423.2760000000007</v>
      </c>
      <c r="I19" s="21"/>
      <c r="J19" s="14" t="str">
        <f t="shared" si="1"/>
        <v>90B14</v>
      </c>
      <c r="K19" s="14"/>
      <c r="L19" s="14"/>
      <c r="M19" s="14">
        <v>280</v>
      </c>
      <c r="N19" s="63">
        <f>2.9*32*1.25*1.1*1.1*1.85</f>
        <v>259.66600000000005</v>
      </c>
      <c r="O19" s="63">
        <f>2.9*32*1.25*1.1*1.1*1.85</f>
        <v>259.66600000000005</v>
      </c>
      <c r="P19" s="63">
        <f>3.2*32*1.25*1.1*1.1*1.85</f>
        <v>286.52800000000008</v>
      </c>
      <c r="Q19" s="63">
        <f>3.5*32*1.25*1.1*1.1*1.85</f>
        <v>313.39000000000004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spans="1:42" x14ac:dyDescent="0.35">
      <c r="A20" s="8" t="s">
        <v>21</v>
      </c>
      <c r="B20" s="8" t="s">
        <v>45</v>
      </c>
      <c r="C20" s="9" t="s">
        <v>18</v>
      </c>
      <c r="D20" s="3" t="s">
        <v>20</v>
      </c>
      <c r="E20" s="64">
        <v>3840</v>
      </c>
      <c r="F20" s="65">
        <f>(37.6+5.9)*32*1.25*1.1*1.1*1.85</f>
        <v>3894.9900000000011</v>
      </c>
      <c r="G20" s="65">
        <f>(37.6+5.2+5.9)*32*1.25*1.1*1.1*1.85</f>
        <v>4360.5980000000009</v>
      </c>
      <c r="H20" s="65">
        <f>(37.6+5.9+5.9)*32*1.25*1.1*1.1*1.85</f>
        <v>4423.2760000000007</v>
      </c>
      <c r="I20" s="21"/>
      <c r="J20" s="14" t="str">
        <f t="shared" si="1"/>
        <v>80B5</v>
      </c>
      <c r="K20" s="14"/>
      <c r="L20" s="14"/>
      <c r="M20" s="14">
        <v>280</v>
      </c>
      <c r="N20" s="63">
        <f>2.9*32*1.25*1.1*1.1*1.85</f>
        <v>259.66600000000005</v>
      </c>
      <c r="O20" s="63">
        <f>2.9*32*1.25*1.1*1.1*1.85</f>
        <v>259.66600000000005</v>
      </c>
      <c r="P20" s="63">
        <f>3.2*32*1.25*1.1*1.1*1.85</f>
        <v>286.52800000000008</v>
      </c>
      <c r="Q20" s="63">
        <f>3.5*32*1.25*1.1*1.1*1.85</f>
        <v>313.39000000000004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1:42" x14ac:dyDescent="0.35">
      <c r="A21" s="8" t="s">
        <v>21</v>
      </c>
      <c r="B21" s="8" t="s">
        <v>45</v>
      </c>
      <c r="C21" s="9" t="s">
        <v>19</v>
      </c>
      <c r="D21" s="3" t="s">
        <v>20</v>
      </c>
      <c r="E21" s="64">
        <v>3840</v>
      </c>
      <c r="F21" s="65">
        <f>(37.6+5.9)*32*1.25*1.1*1.1*1.85</f>
        <v>3894.9900000000011</v>
      </c>
      <c r="G21" s="65">
        <f>(37.6+5.2+5.9)*32*1.25*1.1*1.1*1.85</f>
        <v>4360.5980000000009</v>
      </c>
      <c r="H21" s="65">
        <f>(37.6+5.9+5.9)*32*1.25*1.1*1.1*1.85</f>
        <v>4423.2760000000007</v>
      </c>
      <c r="I21" s="10"/>
      <c r="J21" s="14" t="str">
        <f t="shared" si="1"/>
        <v>80B14</v>
      </c>
      <c r="K21" s="14"/>
      <c r="L21" s="14"/>
      <c r="M21" s="14">
        <v>280</v>
      </c>
      <c r="N21" s="63">
        <f>2.9*32*1.25*1.1*1.1*1.85</f>
        <v>259.66600000000005</v>
      </c>
      <c r="O21" s="63">
        <f>2.9*32*1.25*1.1*1.1*1.85</f>
        <v>259.66600000000005</v>
      </c>
      <c r="P21" s="63">
        <f>3.2*32*1.25*1.1*1.1*1.85</f>
        <v>286.52800000000008</v>
      </c>
      <c r="Q21" s="63">
        <f>3.5*32*1.25*1.1*1.1*1.85</f>
        <v>313.39000000000004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1:42" x14ac:dyDescent="0.35">
      <c r="A22" s="8" t="s">
        <v>21</v>
      </c>
      <c r="B22" s="8" t="s">
        <v>16</v>
      </c>
      <c r="C22" s="2" t="s">
        <v>13</v>
      </c>
      <c r="D22" s="3" t="s">
        <v>15</v>
      </c>
      <c r="E22" s="64">
        <v>3790</v>
      </c>
      <c r="F22" s="65">
        <f>(37.6+5.9)*32*1.25*1.1*1.1*1.85</f>
        <v>3894.9900000000011</v>
      </c>
      <c r="G22" s="65">
        <f>(37.6+4.5+5.9)*32*1.25*1.1*1.1*1.85</f>
        <v>4297.920000000001</v>
      </c>
      <c r="H22" s="65">
        <f>(37.6+5.9+5.9)*32*1.25*1.1*1.1*1.85</f>
        <v>4423.2760000000007</v>
      </c>
      <c r="I22" s="24" t="s">
        <v>64</v>
      </c>
      <c r="J22" s="14" t="str">
        <f t="shared" si="1"/>
        <v>71B5</v>
      </c>
      <c r="K22" s="14"/>
      <c r="L22" s="14"/>
      <c r="M22" s="14">
        <v>280</v>
      </c>
      <c r="N22" s="63">
        <f>2.9*32*1.25*1.1*1.1*1.85</f>
        <v>259.66600000000005</v>
      </c>
      <c r="O22" s="63">
        <f>2.9*32*1.25*1.1*1.1*1.85</f>
        <v>259.66600000000005</v>
      </c>
      <c r="P22" s="63">
        <f>3.2*32*1.25*1.1*1.1*1.85</f>
        <v>286.52800000000008</v>
      </c>
      <c r="Q22" s="63">
        <f>3.5*32*1.25*1.1*1.1*1.85</f>
        <v>313.39000000000004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42" x14ac:dyDescent="0.35">
      <c r="A23" s="8" t="s">
        <v>21</v>
      </c>
      <c r="B23" s="8" t="s">
        <v>16</v>
      </c>
      <c r="C23" s="2" t="s">
        <v>14</v>
      </c>
      <c r="D23" s="3" t="s">
        <v>15</v>
      </c>
      <c r="E23" s="64">
        <v>3790</v>
      </c>
      <c r="F23" s="65">
        <f>(37.6+5.9)*32*1.25*1.1*1.1*1.85</f>
        <v>3894.9900000000011</v>
      </c>
      <c r="G23" s="65">
        <f>(37.6+4.5+5.9)*32*1.25*1.1*1.1*1.85</f>
        <v>4297.920000000001</v>
      </c>
      <c r="H23" s="65">
        <f>(37.6+5.9+5.9)*32*1.25*1.1*1.1*1.85</f>
        <v>4423.2760000000007</v>
      </c>
      <c r="I23" s="25" t="s">
        <v>63</v>
      </c>
      <c r="J23" s="14" t="str">
        <f t="shared" si="1"/>
        <v>71B14</v>
      </c>
      <c r="K23" s="14"/>
      <c r="L23" s="14"/>
      <c r="M23" s="14">
        <v>280</v>
      </c>
      <c r="N23" s="63">
        <f>2.9*32*1.25*1.1*1.1*1.85</f>
        <v>259.66600000000005</v>
      </c>
      <c r="O23" s="63">
        <f>2.9*32*1.25*1.1*1.1*1.85</f>
        <v>259.66600000000005</v>
      </c>
      <c r="P23" s="63">
        <f>3.2*32*1.25*1.1*1.1*1.85</f>
        <v>286.52800000000008</v>
      </c>
      <c r="Q23" s="63">
        <f>3.5*32*1.25*1.1*1.1*1.85</f>
        <v>313.39000000000004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35">
      <c r="A24" s="8" t="s">
        <v>25</v>
      </c>
      <c r="B24" s="8" t="s">
        <v>49</v>
      </c>
      <c r="C24" s="2" t="s">
        <v>26</v>
      </c>
      <c r="D24" s="3" t="s">
        <v>28</v>
      </c>
      <c r="E24" s="64">
        <v>5600</v>
      </c>
      <c r="F24" s="65">
        <f>(56+8.3)*32*1.25*1.1*1.1*1.85</f>
        <v>5757.4220000000005</v>
      </c>
      <c r="G24" s="65">
        <f>(56+6.5+8.3)*32*1.25*1.1*1.1*1.85</f>
        <v>6339.4320000000016</v>
      </c>
      <c r="H24" s="65">
        <f>(56+8.3+8.3)*32*1.25*1.1*1.1*1.85</f>
        <v>6500.6040000000012</v>
      </c>
      <c r="I24" s="26" t="s">
        <v>65</v>
      </c>
      <c r="J24" s="14" t="str">
        <f t="shared" si="1"/>
        <v>100/112B5</v>
      </c>
      <c r="K24" s="14"/>
      <c r="L24" s="14"/>
      <c r="M24" s="14">
        <v>520</v>
      </c>
      <c r="N24" s="63">
        <f>3.4*32*1.25*1.1*1.1*1.85</f>
        <v>304.43600000000009</v>
      </c>
      <c r="O24" s="63">
        <f>3.4*32*1.25*1.1*1.1*1.85</f>
        <v>304.43600000000009</v>
      </c>
      <c r="P24" s="63">
        <f>3.5*32*1.25*1.1*1.1*1.85</f>
        <v>313.39000000000004</v>
      </c>
      <c r="Q24" s="63">
        <f>3.9*32*1.25*1.1*1.1*1.85</f>
        <v>349.20600000000013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x14ac:dyDescent="0.35">
      <c r="A25" s="8" t="s">
        <v>25</v>
      </c>
      <c r="B25" s="8" t="s">
        <v>49</v>
      </c>
      <c r="C25" s="2" t="s">
        <v>27</v>
      </c>
      <c r="D25" s="3" t="s">
        <v>28</v>
      </c>
      <c r="E25" s="64">
        <v>5600</v>
      </c>
      <c r="F25" s="65">
        <f>(56+8.3)*32*1.25*1.1*1.1*1.85</f>
        <v>5757.4220000000005</v>
      </c>
      <c r="G25" s="65">
        <f>(56+6.5+8.3)*32*1.25*1.1*1.1*1.85</f>
        <v>6339.4320000000016</v>
      </c>
      <c r="H25" s="65">
        <f>(56+8.3+8.3)*32*1.25*1.1*1.1*1.85</f>
        <v>6500.6040000000012</v>
      </c>
      <c r="I25" s="26" t="s">
        <v>66</v>
      </c>
      <c r="J25" s="14" t="str">
        <f t="shared" si="1"/>
        <v>100/112B14</v>
      </c>
      <c r="K25" s="14"/>
      <c r="L25" s="14"/>
      <c r="M25" s="14">
        <v>520</v>
      </c>
      <c r="N25" s="63">
        <f>3.4*32*1.25*1.1*1.1*1.85</f>
        <v>304.43600000000009</v>
      </c>
      <c r="O25" s="63">
        <f>3.4*32*1.25*1.1*1.1*1.85</f>
        <v>304.43600000000009</v>
      </c>
      <c r="P25" s="63">
        <f>3.5*32*1.25*1.1*1.1*1.85</f>
        <v>313.39000000000004</v>
      </c>
      <c r="Q25" s="63">
        <f>3.9*32*1.25*1.1*1.1*1.85</f>
        <v>349.20600000000013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35">
      <c r="A26" s="8" t="s">
        <v>25</v>
      </c>
      <c r="B26" s="8" t="s">
        <v>46</v>
      </c>
      <c r="C26" s="9" t="s">
        <v>22</v>
      </c>
      <c r="D26" s="3" t="s">
        <v>24</v>
      </c>
      <c r="E26" s="64">
        <v>5590</v>
      </c>
      <c r="F26" s="65">
        <f>(56+8.3)*32*1.25*1.1*1.1*1.85</f>
        <v>5757.4220000000005</v>
      </c>
      <c r="G26" s="65">
        <f>(56+6+8.3)*32*1.25*1.1*1.1*1.85</f>
        <v>6294.6620000000012</v>
      </c>
      <c r="H26" s="65">
        <f>(56+8.3+8.3)*32*1.25*1.1*1.1*1.85</f>
        <v>6500.6040000000012</v>
      </c>
      <c r="I26" s="26" t="s">
        <v>67</v>
      </c>
      <c r="J26" s="14" t="str">
        <f t="shared" si="1"/>
        <v>90B5</v>
      </c>
      <c r="K26" s="14"/>
      <c r="L26" s="14"/>
      <c r="M26" s="14">
        <v>520</v>
      </c>
      <c r="N26" s="63">
        <f>3.4*32*1.25*1.1*1.1*1.85</f>
        <v>304.43600000000009</v>
      </c>
      <c r="O26" s="63">
        <f>3.4*32*1.25*1.1*1.1*1.85</f>
        <v>304.43600000000009</v>
      </c>
      <c r="P26" s="63">
        <f>3.5*32*1.25*1.1*1.1*1.85</f>
        <v>313.39000000000004</v>
      </c>
      <c r="Q26" s="63">
        <f>3.9*32*1.25*1.1*1.1*1.85</f>
        <v>349.20600000000013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x14ac:dyDescent="0.35">
      <c r="A27" s="8" t="s">
        <v>25</v>
      </c>
      <c r="B27" s="8" t="s">
        <v>46</v>
      </c>
      <c r="C27" s="9" t="s">
        <v>23</v>
      </c>
      <c r="D27" s="3" t="s">
        <v>24</v>
      </c>
      <c r="E27" s="64">
        <v>5590</v>
      </c>
      <c r="F27" s="65">
        <f>(56+8.3)*32*1.25*1.1*1.1*1.85</f>
        <v>5757.4220000000005</v>
      </c>
      <c r="G27" s="65">
        <f>(56+6+8.3)*32*1.25*1.1*1.1*1.85</f>
        <v>6294.6620000000012</v>
      </c>
      <c r="H27" s="65">
        <f>(56+8.3+8.3)*32*1.25*1.1*1.1*1.85</f>
        <v>6500.6040000000012</v>
      </c>
      <c r="I27" s="26" t="s">
        <v>68</v>
      </c>
      <c r="J27" s="14" t="str">
        <f t="shared" si="1"/>
        <v>90B14</v>
      </c>
      <c r="K27" s="14"/>
      <c r="L27" s="14"/>
      <c r="M27" s="14">
        <v>520</v>
      </c>
      <c r="N27" s="63">
        <f>3.4*32*1.25*1.1*1.1*1.85</f>
        <v>304.43600000000009</v>
      </c>
      <c r="O27" s="63">
        <f>3.4*32*1.25*1.1*1.1*1.85</f>
        <v>304.43600000000009</v>
      </c>
      <c r="P27" s="63">
        <f>3.5*32*1.25*1.1*1.1*1.85</f>
        <v>313.39000000000004</v>
      </c>
      <c r="Q27" s="63">
        <f>3.9*32*1.25*1.1*1.1*1.85</f>
        <v>349.20600000000013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42" x14ac:dyDescent="0.35">
      <c r="A28" s="8" t="s">
        <v>25</v>
      </c>
      <c r="B28" s="8" t="s">
        <v>29</v>
      </c>
      <c r="C28" s="9" t="s">
        <v>18</v>
      </c>
      <c r="D28" s="3" t="s">
        <v>20</v>
      </c>
      <c r="E28" s="64">
        <f>(56+5.2)*32*1.25*1.1*1.1*1.85</f>
        <v>5479.8480000000009</v>
      </c>
      <c r="F28" s="65">
        <f>(56+8.3)*32*1.25*1.1*1.1*1.85</f>
        <v>5757.4220000000005</v>
      </c>
      <c r="G28" s="65">
        <f>(56+5.2+8.3)*32*1.25*1.1*1.1*1.85</f>
        <v>6223.0300000000016</v>
      </c>
      <c r="H28" s="65">
        <f>(56+8.3+8.3)*32*1.25*1.1*1.1*1.85</f>
        <v>6500.6040000000012</v>
      </c>
      <c r="I28" s="26" t="s">
        <v>69</v>
      </c>
      <c r="J28" s="14" t="str">
        <f t="shared" si="1"/>
        <v>80B5</v>
      </c>
      <c r="K28" s="14"/>
      <c r="L28" s="14"/>
      <c r="M28" s="14">
        <v>520</v>
      </c>
      <c r="N28" s="63">
        <f>3.4*32*1.25*1.1*1.1*1.85</f>
        <v>304.43600000000009</v>
      </c>
      <c r="O28" s="63">
        <f>3.4*32*1.25*1.1*1.1*1.85</f>
        <v>304.43600000000009</v>
      </c>
      <c r="P28" s="63">
        <f>3.5*32*1.25*1.1*1.1*1.85</f>
        <v>313.39000000000004</v>
      </c>
      <c r="Q28" s="63">
        <f>3.9*32*1.25*1.1*1.1*1.85</f>
        <v>349.20600000000013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spans="1:42" x14ac:dyDescent="0.35">
      <c r="A29" s="8" t="s">
        <v>25</v>
      </c>
      <c r="B29" s="8" t="s">
        <v>29</v>
      </c>
      <c r="C29" s="9" t="s">
        <v>19</v>
      </c>
      <c r="D29" s="3" t="s">
        <v>20</v>
      </c>
      <c r="E29" s="64">
        <f>(56+5.2)*32*1.25*1.1*1.1*1.85</f>
        <v>5479.8480000000009</v>
      </c>
      <c r="F29" s="65">
        <f>(56+8.3)*32*1.25*1.1*1.1*1.85</f>
        <v>5757.4220000000005</v>
      </c>
      <c r="G29" s="65">
        <f>(56+5.2+8.3)*32*1.25*1.1*1.1*1.85</f>
        <v>6223.0300000000016</v>
      </c>
      <c r="H29" s="65">
        <f>(56+8.3+8.3)*32*1.25*1.1*1.1*1.85</f>
        <v>6500.6040000000012</v>
      </c>
      <c r="I29" s="26" t="s">
        <v>70</v>
      </c>
      <c r="J29" s="14" t="str">
        <f t="shared" si="1"/>
        <v>80B14</v>
      </c>
      <c r="K29" s="14"/>
      <c r="L29" s="14"/>
      <c r="M29" s="14">
        <v>520</v>
      </c>
      <c r="N29" s="63">
        <f>3.4*32*1.25*1.1*1.1*1.85</f>
        <v>304.43600000000009</v>
      </c>
      <c r="O29" s="63">
        <f>3.4*32*1.25*1.1*1.1*1.85</f>
        <v>304.43600000000009</v>
      </c>
      <c r="P29" s="63">
        <f>3.5*32*1.25*1.1*1.1*1.85</f>
        <v>313.39000000000004</v>
      </c>
      <c r="Q29" s="63">
        <f>3.9*32*1.25*1.1*1.1*1.85</f>
        <v>349.20600000000013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spans="1:42" x14ac:dyDescent="0.35">
      <c r="A30" s="8" t="s">
        <v>30</v>
      </c>
      <c r="B30" s="8" t="s">
        <v>44</v>
      </c>
      <c r="C30" s="2" t="s">
        <v>26</v>
      </c>
      <c r="D30" s="3" t="s">
        <v>28</v>
      </c>
      <c r="E30" s="64">
        <v>7550</v>
      </c>
      <c r="F30" s="65">
        <f>(77.8+11.4)*32*1.25*1.1*1.1*1.85</f>
        <v>7986.9680000000017</v>
      </c>
      <c r="G30" s="65">
        <f>(77.8+6.5+11.4)*32*1.25*1.1*1.1*1.85</f>
        <v>8568.9780000000028</v>
      </c>
      <c r="H30" s="65">
        <f>(77.8+11.4+11.4)*32*1.25*1.1*1.1*1.85</f>
        <v>9007.724000000002</v>
      </c>
      <c r="I30" s="26" t="s">
        <v>71</v>
      </c>
      <c r="J30" s="14" t="str">
        <f t="shared" si="1"/>
        <v>100/112B5</v>
      </c>
      <c r="K30" s="14"/>
      <c r="L30" s="14"/>
      <c r="M30" s="14">
        <v>590</v>
      </c>
      <c r="N30" s="63">
        <f>5.8*32*1.25*1.1*1.1*1.85</f>
        <v>519.33200000000011</v>
      </c>
      <c r="O30" s="63">
        <f>5.8*32*1.25*1.1*1.1*1.85</f>
        <v>519.33200000000011</v>
      </c>
      <c r="P30" s="63">
        <f>5.2*32*1.25*1.1*1.1*1.85</f>
        <v>465.60800000000006</v>
      </c>
      <c r="Q30" s="63">
        <f>5.8*32*1.25*1.1*1.1*1.85</f>
        <v>519.33200000000011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spans="1:42" x14ac:dyDescent="0.35">
      <c r="A31" s="8" t="s">
        <v>30</v>
      </c>
      <c r="B31" s="8" t="s">
        <v>44</v>
      </c>
      <c r="C31" s="2" t="s">
        <v>27</v>
      </c>
      <c r="D31" s="3" t="s">
        <v>28</v>
      </c>
      <c r="E31" s="64">
        <v>7550</v>
      </c>
      <c r="F31" s="65">
        <f>(77.8+11.4)*32*1.25*1.1*1.1*1.85</f>
        <v>7986.9680000000017</v>
      </c>
      <c r="G31" s="65">
        <f>(77.8+6.5+11.4)*32*1.25*1.1*1.1*1.85</f>
        <v>8568.9780000000028</v>
      </c>
      <c r="H31" s="65">
        <f>(77.8+11.4+11.4)*32*1.25*1.1*1.1*1.85</f>
        <v>9007.724000000002</v>
      </c>
      <c r="I31" s="26" t="s">
        <v>72</v>
      </c>
      <c r="J31" s="14" t="str">
        <f t="shared" si="1"/>
        <v>100/112B14</v>
      </c>
      <c r="K31" s="14"/>
      <c r="L31" s="14"/>
      <c r="M31" s="14">
        <v>590</v>
      </c>
      <c r="N31" s="63">
        <f>5.8*32*1.25*1.1*1.1*1.85</f>
        <v>519.33200000000011</v>
      </c>
      <c r="O31" s="63">
        <f>5.8*32*1.25*1.1*1.1*1.85</f>
        <v>519.33200000000011</v>
      </c>
      <c r="P31" s="63">
        <f>5.2*32*1.25*1.1*1.1*1.85</f>
        <v>465.60800000000006</v>
      </c>
      <c r="Q31" s="63">
        <f>5.8*32*1.25*1.1*1.1*1.85</f>
        <v>519.33200000000011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spans="1:42" x14ac:dyDescent="0.35">
      <c r="A32" s="8" t="s">
        <v>30</v>
      </c>
      <c r="B32" s="8" t="s">
        <v>43</v>
      </c>
      <c r="C32" s="9" t="s">
        <v>22</v>
      </c>
      <c r="D32" s="3" t="s">
        <v>24</v>
      </c>
      <c r="E32" s="64">
        <v>7510</v>
      </c>
      <c r="F32" s="65">
        <f>(77.8+11.4)*32*1.25*1.1*1.1*1.85</f>
        <v>7986.9680000000017</v>
      </c>
      <c r="G32" s="65">
        <f>(77.8+6+11.4)*32*1.25*1.1*1.1*1.85</f>
        <v>8524.2080000000005</v>
      </c>
      <c r="H32" s="65">
        <f>(77.8+11.4+11.4)*32*1.25*1.1*1.1*1.85</f>
        <v>9007.724000000002</v>
      </c>
      <c r="I32" s="26" t="s">
        <v>73</v>
      </c>
      <c r="J32" s="14" t="str">
        <f t="shared" si="1"/>
        <v>90B5</v>
      </c>
      <c r="K32" s="14"/>
      <c r="L32" s="14"/>
      <c r="M32" s="14">
        <v>590</v>
      </c>
      <c r="N32" s="63">
        <f>5.8*32*1.25*1.1*1.1*1.85</f>
        <v>519.33200000000011</v>
      </c>
      <c r="O32" s="63">
        <f>5.8*32*1.25*1.1*1.1*1.85</f>
        <v>519.33200000000011</v>
      </c>
      <c r="P32" s="63">
        <f>5.2*32*1.25*1.1*1.1*1.85</f>
        <v>465.60800000000006</v>
      </c>
      <c r="Q32" s="63">
        <f>5.8*32*1.25*1.1*1.1*1.85</f>
        <v>519.33200000000011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1:42" x14ac:dyDescent="0.35">
      <c r="A33" s="8" t="s">
        <v>30</v>
      </c>
      <c r="B33" s="8" t="s">
        <v>43</v>
      </c>
      <c r="C33" s="9" t="s">
        <v>23</v>
      </c>
      <c r="D33" s="3" t="s">
        <v>24</v>
      </c>
      <c r="E33" s="64">
        <v>7510</v>
      </c>
      <c r="F33" s="65">
        <f>(77.8+11.4)*32*1.25*1.1*1.1*1.85</f>
        <v>7986.9680000000017</v>
      </c>
      <c r="G33" s="65">
        <f>(77.8+6+11.4)*32*1.25*1.1*1.1*1.85</f>
        <v>8524.2080000000005</v>
      </c>
      <c r="H33" s="65">
        <f>(77.8+11.4+11.4)*32*1.25*1.1*1.1*1.85</f>
        <v>9007.724000000002</v>
      </c>
      <c r="I33" s="26" t="s">
        <v>74</v>
      </c>
      <c r="J33" s="14" t="str">
        <f t="shared" si="1"/>
        <v>90B14</v>
      </c>
      <c r="K33" s="14"/>
      <c r="L33" s="14"/>
      <c r="M33" s="14">
        <v>590</v>
      </c>
      <c r="N33" s="63">
        <f>5.8*32*1.25*1.1*1.1*1.85</f>
        <v>519.33200000000011</v>
      </c>
      <c r="O33" s="63">
        <f>5.8*32*1.25*1.1*1.1*1.85</f>
        <v>519.33200000000011</v>
      </c>
      <c r="P33" s="63">
        <f>5.2*32*1.25*1.1*1.1*1.85</f>
        <v>465.60800000000006</v>
      </c>
      <c r="Q33" s="63">
        <f>5.8*32*1.25*1.1*1.1*1.85</f>
        <v>519.33200000000011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spans="1:42" x14ac:dyDescent="0.35">
      <c r="A34" s="8" t="s">
        <v>30</v>
      </c>
      <c r="B34" s="8" t="s">
        <v>31</v>
      </c>
      <c r="C34" s="9" t="s">
        <v>18</v>
      </c>
      <c r="D34" s="3" t="s">
        <v>20</v>
      </c>
      <c r="E34" s="64">
        <v>7440</v>
      </c>
      <c r="F34" s="65">
        <f>(77.8+11.4)*32*1.25*1.1*1.1*1.85</f>
        <v>7986.9680000000017</v>
      </c>
      <c r="G34" s="65">
        <f>(77.8+5.2+11.4)*32*1.25*1.1*1.1*1.85</f>
        <v>8452.5760000000028</v>
      </c>
      <c r="H34" s="65">
        <f>(77.8+11.4+11.4)*32*1.25*1.1*1.1*1.85</f>
        <v>9007.724000000002</v>
      </c>
      <c r="I34" s="26" t="s">
        <v>75</v>
      </c>
      <c r="J34" s="14" t="str">
        <f t="shared" si="1"/>
        <v>80B5</v>
      </c>
      <c r="K34" s="14"/>
      <c r="L34" s="14"/>
      <c r="M34" s="14">
        <v>590</v>
      </c>
      <c r="N34" s="63">
        <f>5.8*32*1.25*1.1*1.1*1.85</f>
        <v>519.33200000000011</v>
      </c>
      <c r="O34" s="63">
        <f>5.8*32*1.25*1.1*1.1*1.85</f>
        <v>519.33200000000011</v>
      </c>
      <c r="P34" s="63">
        <f>5.2*32*1.25*1.1*1.1*1.85</f>
        <v>465.60800000000006</v>
      </c>
      <c r="Q34" s="63">
        <f>5.8*32*1.25*1.1*1.1*1.85</f>
        <v>519.33200000000011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x14ac:dyDescent="0.35">
      <c r="A35" s="8" t="s">
        <v>30</v>
      </c>
      <c r="B35" s="8" t="s">
        <v>31</v>
      </c>
      <c r="C35" s="9" t="s">
        <v>19</v>
      </c>
      <c r="D35" s="3" t="s">
        <v>20</v>
      </c>
      <c r="E35" s="64">
        <v>7440</v>
      </c>
      <c r="F35" s="65">
        <f>(77.8+11.4)*32*1.25*1.1*1.1*1.85</f>
        <v>7986.9680000000017</v>
      </c>
      <c r="G35" s="65">
        <f>(77.8+5.2+11.4)*32*1.25*1.1*1.1*1.85</f>
        <v>8452.5760000000028</v>
      </c>
      <c r="H35" s="65">
        <f>(77.8+11.4+11.4)*32*1.25*1.1*1.1*1.85</f>
        <v>9007.724000000002</v>
      </c>
      <c r="I35" s="26" t="s">
        <v>74</v>
      </c>
      <c r="J35" s="14" t="str">
        <f t="shared" si="1"/>
        <v>80B14</v>
      </c>
      <c r="K35" s="14"/>
      <c r="L35" s="14"/>
      <c r="M35" s="14">
        <v>590</v>
      </c>
      <c r="N35" s="63">
        <f>5.8*32*1.25*1.1*1.1*1.85</f>
        <v>519.33200000000011</v>
      </c>
      <c r="O35" s="63">
        <f>5.8*32*1.25*1.1*1.1*1.85</f>
        <v>519.33200000000011</v>
      </c>
      <c r="P35" s="63">
        <f>5.2*32*1.25*1.1*1.1*1.85</f>
        <v>465.60800000000006</v>
      </c>
      <c r="Q35" s="63">
        <f>5.8*32*1.25*1.1*1.1*1.85</f>
        <v>519.33200000000011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1:42" x14ac:dyDescent="0.35">
      <c r="A36" s="8" t="s">
        <v>32</v>
      </c>
      <c r="B36" s="8" t="s">
        <v>50</v>
      </c>
      <c r="C36" s="2" t="s">
        <v>34</v>
      </c>
      <c r="D36" s="3" t="s">
        <v>35</v>
      </c>
      <c r="E36" s="64">
        <v>12640</v>
      </c>
      <c r="F36" s="65">
        <f>(128.4+17.7)*32*1.25*1.1*1.1*1.85</f>
        <v>13081.794000000004</v>
      </c>
      <c r="G36" s="65">
        <f>(128.4+12.7+17.7)*32*1.25*1.1*1.1*1.85</f>
        <v>14218.952000000001</v>
      </c>
      <c r="H36" s="65">
        <f>(128.4+17.7)*32*1.25*1.1*1.1*1.85</f>
        <v>13081.794000000004</v>
      </c>
      <c r="I36" s="26" t="s">
        <v>76</v>
      </c>
      <c r="J36" s="14" t="str">
        <f t="shared" si="1"/>
        <v>132B5</v>
      </c>
      <c r="K36" s="14"/>
      <c r="L36" s="14"/>
      <c r="M36" s="14">
        <v>860</v>
      </c>
      <c r="N36" s="63">
        <f>12.6*32*1.25*1.1*1.1*1.85</f>
        <v>1128.2040000000004</v>
      </c>
      <c r="O36" s="63">
        <f>12.6*32*1.25*1.1*1.1*1.85</f>
        <v>1128.2040000000004</v>
      </c>
      <c r="P36" s="63">
        <f>6.8*32*1.25*1.1*1.1*1.85</f>
        <v>608.87200000000018</v>
      </c>
      <c r="Q36" s="63">
        <f>7.4*32*1.25*1.1*1.1*1.85</f>
        <v>662.59600000000023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42" x14ac:dyDescent="0.35">
      <c r="A37" s="8" t="s">
        <v>32</v>
      </c>
      <c r="B37" s="8" t="s">
        <v>43</v>
      </c>
      <c r="C37" s="2" t="s">
        <v>27</v>
      </c>
      <c r="D37" s="3" t="s">
        <v>28</v>
      </c>
      <c r="E37" s="64">
        <v>12300</v>
      </c>
      <c r="F37" s="65">
        <f>(128.4+17.7)*32*1.25*1.1*1.1*1.85</f>
        <v>13081.794000000004</v>
      </c>
      <c r="G37" s="65">
        <f>(128.4+9+17.7)*32*1.25*1.1*1.1*1.85</f>
        <v>13887.654000000002</v>
      </c>
      <c r="H37" s="65">
        <f>(128.4+17.7)*32*1.25*1.1*1.1*1.85</f>
        <v>13081.794000000004</v>
      </c>
      <c r="I37" s="27" t="s">
        <v>77</v>
      </c>
      <c r="J37" s="14" t="str">
        <f t="shared" si="1"/>
        <v>100/112B14</v>
      </c>
      <c r="K37" s="14"/>
      <c r="L37" s="14"/>
      <c r="M37" s="14">
        <v>860</v>
      </c>
      <c r="N37" s="63">
        <f>12.6*32*1.25*1.1*1.1*1.85</f>
        <v>1128.2040000000004</v>
      </c>
      <c r="O37" s="63">
        <f>12.6*32*1.25*1.1*1.1*1.85</f>
        <v>1128.2040000000004</v>
      </c>
      <c r="P37" s="63">
        <f>6.8*32*1.25*1.1*1.1*1.85</f>
        <v>608.87200000000018</v>
      </c>
      <c r="Q37" s="63">
        <f>7.4*32*1.25*1.1*1.1*1.85</f>
        <v>662.59600000000023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1:42" x14ac:dyDescent="0.35">
      <c r="A38" s="8" t="s">
        <v>32</v>
      </c>
      <c r="B38" s="8" t="s">
        <v>33</v>
      </c>
      <c r="C38" s="9" t="s">
        <v>22</v>
      </c>
      <c r="D38" s="3" t="s">
        <v>24</v>
      </c>
      <c r="E38" s="64">
        <v>12200</v>
      </c>
      <c r="F38" s="65">
        <f>(128.4+17.7)*32*1.25*1.1*1.1*1.85</f>
        <v>13081.794000000004</v>
      </c>
      <c r="G38" s="65">
        <f>(128.4+7.5+17.7)*32*1.25*1.1*1.1*1.85</f>
        <v>13753.344000000003</v>
      </c>
      <c r="H38" s="65">
        <f>(128.4+17.7)*32*1.25*1.1*1.1*1.85</f>
        <v>13081.794000000004</v>
      </c>
      <c r="I38" s="5"/>
      <c r="J38" s="14" t="str">
        <f t="shared" si="1"/>
        <v>90B5</v>
      </c>
      <c r="K38" s="14"/>
      <c r="L38" s="14"/>
      <c r="M38" s="14">
        <v>860</v>
      </c>
      <c r="N38" s="63">
        <f>12.6*32*1.25*1.1*1.1*1.85</f>
        <v>1128.2040000000004</v>
      </c>
      <c r="O38" s="63">
        <f>12.6*32*1.25*1.1*1.1*1.85</f>
        <v>1128.2040000000004</v>
      </c>
      <c r="P38" s="63">
        <f>6.8*32*1.25*1.1*1.1*1.85</f>
        <v>608.87200000000018</v>
      </c>
      <c r="Q38" s="63">
        <f>7.4*32*1.25*1.1*1.1*1.85</f>
        <v>662.59600000000023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spans="1:42" x14ac:dyDescent="0.35">
      <c r="A39" s="8" t="s">
        <v>36</v>
      </c>
      <c r="B39" s="8" t="s">
        <v>46</v>
      </c>
      <c r="C39" s="2" t="s">
        <v>34</v>
      </c>
      <c r="D39" s="3" t="s">
        <v>35</v>
      </c>
      <c r="E39" s="64">
        <v>16200</v>
      </c>
      <c r="F39" s="65">
        <f>(166.6+22.8)*32*1.25*1.1*1.1*1.85</f>
        <v>16958.876000000004</v>
      </c>
      <c r="G39" s="65">
        <f>(166.6+14+22.8)*32*1.25*1.1*1.1*1.85</f>
        <v>18212.436000000002</v>
      </c>
      <c r="H39" s="65">
        <f>(166.6+22.8+22.8)*32*1.25*1.1*1.1*1.85</f>
        <v>19000.388000000003</v>
      </c>
      <c r="I39" s="5"/>
      <c r="J39" s="14" t="str">
        <f t="shared" si="1"/>
        <v>132B5</v>
      </c>
      <c r="K39" s="14"/>
      <c r="L39" s="14"/>
      <c r="M39" s="14">
        <v>980</v>
      </c>
      <c r="N39" s="63">
        <f>17*32*1.25*1.1*1.1*1.85</f>
        <v>1522.1800000000005</v>
      </c>
      <c r="O39" s="63">
        <f>17*32*1.25*1.1*1.1*1.85</f>
        <v>1522.1800000000005</v>
      </c>
      <c r="P39" s="63">
        <f>8.1*32*1.25*1.1*1.1*1.85</f>
        <v>725.27400000000023</v>
      </c>
      <c r="Q39" s="63">
        <f>9*32*1.25*1.1*1.1*1.85</f>
        <v>805.86000000000024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1:42" x14ac:dyDescent="0.35">
      <c r="A40" s="8" t="s">
        <v>36</v>
      </c>
      <c r="B40" s="8" t="s">
        <v>33</v>
      </c>
      <c r="C40" s="2" t="s">
        <v>27</v>
      </c>
      <c r="D40" s="3" t="s">
        <v>28</v>
      </c>
      <c r="E40" s="64">
        <v>15900</v>
      </c>
      <c r="F40" s="65">
        <f>(166.6+22.8)*32*1.25*1.1*1.1*1.85</f>
        <v>16958.876000000004</v>
      </c>
      <c r="G40" s="65">
        <f>(166.6+10.5+22.8)*32*1.25*1.1*1.1*1.85</f>
        <v>17899.046000000006</v>
      </c>
      <c r="H40" s="65">
        <f>(166.6+22.8+22.8)*32*1.25*1.1*1.1*1.85</f>
        <v>19000.388000000003</v>
      </c>
      <c r="I40" s="5"/>
      <c r="J40" s="14" t="str">
        <f t="shared" si="1"/>
        <v>100/112B14</v>
      </c>
      <c r="K40" s="14"/>
      <c r="L40" s="14"/>
      <c r="M40" s="14">
        <v>980</v>
      </c>
      <c r="N40" s="63">
        <f>17*32*1.25*1.1*1.1*1.85</f>
        <v>1522.1800000000005</v>
      </c>
      <c r="O40" s="63">
        <f>17*32*1.25*1.1*1.1*1.85</f>
        <v>1522.1800000000005</v>
      </c>
      <c r="P40" s="63">
        <f>8.1*32*1.25*1.1*1.1*1.85</f>
        <v>725.27400000000023</v>
      </c>
      <c r="Q40" s="63">
        <f>9*32*1.25*1.1*1.1*1.85</f>
        <v>805.86000000000024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1:42" x14ac:dyDescent="0.35">
      <c r="A41" s="8" t="s">
        <v>36</v>
      </c>
      <c r="B41" s="8" t="s">
        <v>38</v>
      </c>
      <c r="C41" s="9" t="s">
        <v>22</v>
      </c>
      <c r="D41" s="3" t="s">
        <v>24</v>
      </c>
      <c r="E41" s="64">
        <v>15800</v>
      </c>
      <c r="F41" s="65">
        <f>(166.6+22.8)*32*1.25*1.1*1.1*1.85</f>
        <v>16958.876000000004</v>
      </c>
      <c r="G41" s="65">
        <f>(166.6+9.5+22.8)*32*1.25*1.1*1.1*1.85</f>
        <v>17809.506000000005</v>
      </c>
      <c r="H41" s="65">
        <f>(166.6+22.8+22.8)*32*1.25*1.1*1.1*1.85</f>
        <v>19000.388000000003</v>
      </c>
      <c r="I41" s="5"/>
      <c r="J41" s="14" t="str">
        <f t="shared" si="1"/>
        <v>90B5</v>
      </c>
      <c r="K41" s="14"/>
      <c r="L41" s="14"/>
      <c r="M41" s="14">
        <v>980</v>
      </c>
      <c r="N41" s="63">
        <f>17*32*1.25*1.1*1.1*1.85</f>
        <v>1522.1800000000005</v>
      </c>
      <c r="O41" s="63">
        <f>17*32*1.25*1.1*1.1*1.85</f>
        <v>1522.1800000000005</v>
      </c>
      <c r="P41" s="63">
        <f>8.1*32*1.25*1.1*1.1*1.85</f>
        <v>725.27400000000023</v>
      </c>
      <c r="Q41" s="63">
        <f>9*32*1.25*1.1*1.1*1.85</f>
        <v>805.86000000000024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1:42" x14ac:dyDescent="0.35">
      <c r="A42" s="8" t="s">
        <v>37</v>
      </c>
      <c r="B42" s="8" t="s">
        <v>50</v>
      </c>
      <c r="C42" s="2" t="s">
        <v>40</v>
      </c>
      <c r="D42" s="3" t="s">
        <v>41</v>
      </c>
      <c r="E42" s="64">
        <v>24000</v>
      </c>
      <c r="F42" s="65">
        <f>(249+25.6)*32*1.25*1.1*1.1*1.85</f>
        <v>24587.684000000008</v>
      </c>
      <c r="G42" s="65">
        <f>(249+20+25.6)*32*1.25*1.1*1.1*1.85</f>
        <v>26378.484000000008</v>
      </c>
      <c r="H42" s="65">
        <f>(249+25.6+25.6)*32*1.25*1.1*1.1*1.85</f>
        <v>26879.90800000001</v>
      </c>
      <c r="I42" s="5"/>
      <c r="J42" s="14" t="str">
        <f t="shared" si="1"/>
        <v>160B5</v>
      </c>
      <c r="K42" s="14"/>
      <c r="L42" s="14"/>
      <c r="M42" s="14">
        <v>1150</v>
      </c>
      <c r="N42" s="63">
        <f>17*32*1.25*1.1*1.1*1.85</f>
        <v>1522.1800000000005</v>
      </c>
      <c r="O42" s="63">
        <f>17*32*1.25*1.1*1.1*1.85</f>
        <v>1522.1800000000005</v>
      </c>
      <c r="P42" s="63">
        <f>10*32*1.25*1.1*1.1*1.85</f>
        <v>895.4000000000002</v>
      </c>
      <c r="Q42" s="63">
        <f>11.7*32*1.25*1.1*1.1*1.85</f>
        <v>1047.6180000000002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1:42" x14ac:dyDescent="0.35">
      <c r="A43" s="8" t="s">
        <v>37</v>
      </c>
      <c r="B43" s="8" t="s">
        <v>39</v>
      </c>
      <c r="C43" s="2" t="s">
        <v>34</v>
      </c>
      <c r="D43" s="3" t="s">
        <v>35</v>
      </c>
      <c r="E43" s="64">
        <v>23900</v>
      </c>
      <c r="F43" s="65">
        <f>(249+25.6)*32*1.25*1.1*1.1*1.85</f>
        <v>24587.684000000008</v>
      </c>
      <c r="G43" s="65">
        <f>(249+17+25.6)*32*1.25*1.1*1.1*1.85</f>
        <v>26109.864000000005</v>
      </c>
      <c r="H43" s="65">
        <f>(249+25.6+25.6)*32*1.25*1.1*1.1*1.85</f>
        <v>26879.90800000001</v>
      </c>
      <c r="I43" s="5"/>
      <c r="J43" s="14" t="str">
        <f t="shared" si="1"/>
        <v>132B5</v>
      </c>
      <c r="K43" s="14"/>
      <c r="L43" s="14"/>
      <c r="M43" s="14">
        <v>1150</v>
      </c>
      <c r="N43" s="63">
        <f>17*32*1.25*1.1*1.1*1.85</f>
        <v>1522.1800000000005</v>
      </c>
      <c r="O43" s="63">
        <f>17*32*1.25*1.1*1.1*1.85</f>
        <v>1522.1800000000005</v>
      </c>
      <c r="P43" s="63">
        <f>10*32*1.25*1.1*1.1*1.85</f>
        <v>895.4000000000002</v>
      </c>
      <c r="Q43" s="63">
        <f>11.7*32*1.25*1.1*1.1*1.85</f>
        <v>1047.6180000000002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spans="1:42" x14ac:dyDescent="0.35">
      <c r="A44" s="8" t="s">
        <v>37</v>
      </c>
      <c r="B44" s="8" t="s">
        <v>16</v>
      </c>
      <c r="C44" s="2" t="s">
        <v>27</v>
      </c>
      <c r="D44" s="3" t="s">
        <v>28</v>
      </c>
      <c r="E44" s="64">
        <v>23500</v>
      </c>
      <c r="F44" s="65">
        <f>(249+25.6)*32*1.25*1.1*1.1*1.85</f>
        <v>24587.684000000008</v>
      </c>
      <c r="G44" s="65">
        <f>(249+13+25.6)*32*1.25*1.1*1.1*1.85</f>
        <v>25751.704000000005</v>
      </c>
      <c r="H44" s="65">
        <f>(249+25.6+25.6)*32*1.25*1.1*1.1*1.85</f>
        <v>26879.90800000001</v>
      </c>
      <c r="I44" s="5"/>
      <c r="J44" s="14" t="str">
        <f t="shared" si="1"/>
        <v>100/112B14</v>
      </c>
      <c r="K44" s="14"/>
      <c r="L44" s="14"/>
      <c r="M44" s="14">
        <v>1150</v>
      </c>
      <c r="N44" s="63">
        <f>17*32*1.25*1.1*1.1*1.85</f>
        <v>1522.1800000000005</v>
      </c>
      <c r="O44" s="63">
        <f>17*32*1.25*1.1*1.1*1.85</f>
        <v>1522.1800000000005</v>
      </c>
      <c r="P44" s="63">
        <f>10*32*1.25*1.1*1.1*1.85</f>
        <v>895.4000000000002</v>
      </c>
      <c r="Q44" s="63">
        <f>11.7*32*1.25*1.1*1.1*1.85</f>
        <v>1047.6180000000002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1:42" x14ac:dyDescent="0.35">
      <c r="A45" s="30" t="s">
        <v>78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62"/>
      <c r="P45" s="62"/>
      <c r="Q45" s="62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spans="1:42" x14ac:dyDescent="0.35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62"/>
      <c r="P46" s="62"/>
      <c r="Q46" s="62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1:42" x14ac:dyDescent="0.35">
      <c r="A47" s="32" t="s">
        <v>51</v>
      </c>
      <c r="B47" s="33"/>
      <c r="C47" s="33"/>
      <c r="D47" s="34"/>
      <c r="E47" s="32" t="s">
        <v>79</v>
      </c>
      <c r="F47" s="33"/>
      <c r="G47" s="33"/>
      <c r="H47" s="34"/>
      <c r="I47" s="50" t="s">
        <v>80</v>
      </c>
      <c r="J47" s="54" t="s">
        <v>81</v>
      </c>
      <c r="K47" s="55"/>
      <c r="L47" s="56"/>
      <c r="M47" s="54" t="s">
        <v>59</v>
      </c>
      <c r="N47" s="55"/>
      <c r="O47" s="56"/>
      <c r="P47" s="4"/>
      <c r="Q47" s="4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spans="1:42" x14ac:dyDescent="0.35">
      <c r="A48" s="35"/>
      <c r="B48" s="36"/>
      <c r="C48" s="36"/>
      <c r="D48" s="37"/>
      <c r="E48" s="19"/>
      <c r="F48" s="42"/>
      <c r="G48" s="42"/>
      <c r="H48" s="43"/>
      <c r="I48" s="51"/>
      <c r="J48" s="19"/>
      <c r="K48" s="42"/>
      <c r="L48" s="43"/>
      <c r="M48" s="19"/>
      <c r="N48" s="42"/>
      <c r="O48" s="43"/>
      <c r="P48" s="4"/>
      <c r="Q48" s="4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spans="1:42" x14ac:dyDescent="0.35">
      <c r="A49" s="28"/>
      <c r="B49" s="29"/>
      <c r="C49" s="29"/>
      <c r="D49" s="38"/>
      <c r="E49" s="18"/>
      <c r="F49" s="44"/>
      <c r="G49" s="44"/>
      <c r="H49" s="45"/>
      <c r="I49" s="52"/>
      <c r="J49" s="18"/>
      <c r="K49" s="44"/>
      <c r="L49" s="45"/>
      <c r="M49" s="18"/>
      <c r="N49" s="44"/>
      <c r="O49" s="45"/>
      <c r="P49" s="4"/>
      <c r="Q49" s="4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spans="1:42" x14ac:dyDescent="0.35">
      <c r="A50" s="28"/>
      <c r="B50" s="29"/>
      <c r="C50" s="29"/>
      <c r="D50" s="38"/>
      <c r="E50" s="18"/>
      <c r="F50" s="44"/>
      <c r="G50" s="44"/>
      <c r="H50" s="45"/>
      <c r="I50" s="52"/>
      <c r="J50" s="18"/>
      <c r="K50" s="44"/>
      <c r="L50" s="45"/>
      <c r="M50" s="18"/>
      <c r="N50" s="44"/>
      <c r="O50" s="45"/>
      <c r="P50" s="4"/>
      <c r="Q50" s="4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spans="1:42" x14ac:dyDescent="0.35">
      <c r="A51" s="28"/>
      <c r="B51" s="29"/>
      <c r="C51" s="29"/>
      <c r="D51" s="38"/>
      <c r="E51" s="18"/>
      <c r="F51" s="44"/>
      <c r="G51" s="44"/>
      <c r="H51" s="45"/>
      <c r="I51" s="52"/>
      <c r="J51" s="18"/>
      <c r="K51" s="44"/>
      <c r="L51" s="45"/>
      <c r="M51" s="18"/>
      <c r="N51" s="44"/>
      <c r="O51" s="45"/>
      <c r="P51" s="4"/>
      <c r="Q51" s="4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spans="1:42" x14ac:dyDescent="0.35">
      <c r="A52" s="28"/>
      <c r="B52" s="29"/>
      <c r="C52" s="29"/>
      <c r="D52" s="38"/>
      <c r="E52" s="18"/>
      <c r="F52" s="44"/>
      <c r="G52" s="44"/>
      <c r="H52" s="45"/>
      <c r="I52" s="52"/>
      <c r="J52" s="18"/>
      <c r="K52" s="44"/>
      <c r="L52" s="45"/>
      <c r="M52" s="18"/>
      <c r="N52" s="44"/>
      <c r="O52" s="45"/>
      <c r="P52" s="4"/>
      <c r="Q52" s="4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x14ac:dyDescent="0.35">
      <c r="A53" s="28"/>
      <c r="B53" s="29"/>
      <c r="C53" s="29"/>
      <c r="D53" s="38"/>
      <c r="E53" s="18"/>
      <c r="F53" s="44"/>
      <c r="G53" s="44"/>
      <c r="H53" s="45"/>
      <c r="I53" s="52"/>
      <c r="J53" s="18"/>
      <c r="K53" s="44"/>
      <c r="L53" s="45"/>
      <c r="M53" s="18"/>
      <c r="N53" s="44"/>
      <c r="O53" s="45"/>
      <c r="P53" s="4"/>
      <c r="Q53" s="4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 x14ac:dyDescent="0.35">
      <c r="A54" s="28"/>
      <c r="B54" s="29"/>
      <c r="C54" s="29"/>
      <c r="D54" s="38"/>
      <c r="E54" s="18"/>
      <c r="F54" s="44"/>
      <c r="G54" s="44"/>
      <c r="H54" s="45"/>
      <c r="I54" s="52"/>
      <c r="J54" s="18"/>
      <c r="K54" s="44"/>
      <c r="L54" s="45"/>
      <c r="M54" s="18"/>
      <c r="N54" s="44"/>
      <c r="O54" s="45"/>
      <c r="P54" s="4"/>
      <c r="Q54" s="4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 x14ac:dyDescent="0.35">
      <c r="A55" s="28"/>
      <c r="B55" s="29"/>
      <c r="C55" s="29"/>
      <c r="D55" s="38"/>
      <c r="E55" s="18"/>
      <c r="F55" s="44"/>
      <c r="G55" s="44"/>
      <c r="H55" s="45"/>
      <c r="I55" s="52"/>
      <c r="J55" s="18"/>
      <c r="K55" s="44"/>
      <c r="L55" s="45"/>
      <c r="M55" s="18"/>
      <c r="N55" s="44"/>
      <c r="O55" s="45"/>
      <c r="P55" s="4"/>
      <c r="Q55" s="4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 x14ac:dyDescent="0.35">
      <c r="A56" s="28"/>
      <c r="B56" s="29"/>
      <c r="C56" s="29"/>
      <c r="D56" s="38"/>
      <c r="E56" s="18"/>
      <c r="F56" s="44"/>
      <c r="G56" s="44"/>
      <c r="H56" s="45"/>
      <c r="I56" s="52"/>
      <c r="J56" s="18"/>
      <c r="K56" s="44"/>
      <c r="L56" s="45"/>
      <c r="M56" s="18"/>
      <c r="N56" s="44"/>
      <c r="O56" s="45"/>
      <c r="P56" s="4"/>
      <c r="Q56" s="4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x14ac:dyDescent="0.35">
      <c r="A57" s="28"/>
      <c r="B57" s="29"/>
      <c r="C57" s="29"/>
      <c r="D57" s="38"/>
      <c r="E57" s="18"/>
      <c r="F57" s="44"/>
      <c r="G57" s="44"/>
      <c r="H57" s="45"/>
      <c r="I57" s="52"/>
      <c r="J57" s="18"/>
      <c r="K57" s="44"/>
      <c r="L57" s="45"/>
      <c r="M57" s="18"/>
      <c r="N57" s="44"/>
      <c r="O57" s="45"/>
      <c r="P57" s="4"/>
      <c r="Q57" s="4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 x14ac:dyDescent="0.35">
      <c r="A58" s="39"/>
      <c r="B58" s="40"/>
      <c r="C58" s="40"/>
      <c r="D58" s="41"/>
      <c r="E58" s="46"/>
      <c r="F58" s="47"/>
      <c r="G58" s="47"/>
      <c r="H58" s="48"/>
      <c r="I58" s="53"/>
      <c r="J58" s="46"/>
      <c r="K58" s="47"/>
      <c r="L58" s="48"/>
      <c r="M58" s="46"/>
      <c r="N58" s="47"/>
      <c r="O58" s="48"/>
      <c r="P58" s="4"/>
      <c r="Q58" s="4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 x14ac:dyDescent="0.35">
      <c r="A59" s="7"/>
      <c r="B59" s="7"/>
      <c r="C59" s="2"/>
      <c r="D59" s="3"/>
      <c r="E59" s="3"/>
      <c r="F59" s="3"/>
      <c r="G59" s="3"/>
      <c r="H59" s="3"/>
      <c r="I59" s="5"/>
      <c r="J59" s="14"/>
      <c r="K59" s="14"/>
      <c r="L59" s="14"/>
      <c r="M59" s="14"/>
      <c r="N59" s="4"/>
      <c r="O59" s="4"/>
      <c r="P59" s="4"/>
      <c r="Q59" s="4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x14ac:dyDescent="0.35">
      <c r="A60" s="7"/>
      <c r="B60" s="7"/>
      <c r="C60" s="2"/>
      <c r="D60" s="3"/>
      <c r="E60" s="3"/>
      <c r="F60" s="3"/>
      <c r="G60" s="3"/>
      <c r="H60" s="3"/>
      <c r="I60" s="5"/>
      <c r="J60" s="14"/>
      <c r="K60" s="14"/>
      <c r="L60" s="14"/>
      <c r="M60" s="14"/>
      <c r="N60" s="4"/>
      <c r="O60" s="4"/>
      <c r="P60" s="4"/>
      <c r="Q60" s="4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</sheetData>
  <mergeCells count="15">
    <mergeCell ref="P1:Q1"/>
    <mergeCell ref="I7:I11"/>
    <mergeCell ref="A45:N46"/>
    <mergeCell ref="A47:D47"/>
    <mergeCell ref="A48:D58"/>
    <mergeCell ref="E47:H47"/>
    <mergeCell ref="E48:H58"/>
    <mergeCell ref="I48:I58"/>
    <mergeCell ref="J47:L47"/>
    <mergeCell ref="J48:L58"/>
    <mergeCell ref="M47:O47"/>
    <mergeCell ref="M48:O58"/>
    <mergeCell ref="C1:H1"/>
    <mergeCell ref="N1:O1"/>
    <mergeCell ref="J1:K1"/>
  </mergeCells>
  <phoneticPr fontId="4" type="noConversion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Chottanin Amonsintharaphong</cp:lastModifiedBy>
  <dcterms:created xsi:type="dcterms:W3CDTF">2026-03-23T06:03:47Z</dcterms:created>
  <dcterms:modified xsi:type="dcterms:W3CDTF">2026-04-26T16:44:26Z</dcterms:modified>
</cp:coreProperties>
</file>
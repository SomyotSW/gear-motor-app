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uj\gear-motor-app\src\data\"/>
    </mc:Choice>
  </mc:AlternateContent>
  <xr:revisionPtr revIDLastSave="0" documentId="13_ncr:1_{025147DB-DF91-4938-BD83-80E4EB0DC4C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3" i="1" l="1"/>
  <c r="N62" i="1"/>
  <c r="N61" i="1"/>
  <c r="N60" i="1"/>
  <c r="AJ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H98" i="1"/>
  <c r="AK98" i="1" s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H97" i="1"/>
  <c r="AK97" i="1" s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H96" i="1"/>
  <c r="AH96" i="1" s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H95" i="1"/>
  <c r="AH95" i="1" s="1"/>
  <c r="AL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H94" i="1"/>
  <c r="AK94" i="1" s="1"/>
  <c r="AI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H93" i="1"/>
  <c r="AL93" i="1" s="1"/>
  <c r="AJ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H92" i="1"/>
  <c r="AK92" i="1" s="1"/>
  <c r="AI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H91" i="1"/>
  <c r="AK91" i="1" s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H90" i="1"/>
  <c r="AH90" i="1" s="1"/>
  <c r="AL89" i="1"/>
  <c r="AJ89" i="1"/>
  <c r="AI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H89" i="1"/>
  <c r="AH89" i="1" s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H88" i="1"/>
  <c r="AK88" i="1" s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H87" i="1"/>
  <c r="AL87" i="1" s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H86" i="1"/>
  <c r="AK86" i="1" s="1"/>
  <c r="AJ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H85" i="1"/>
  <c r="AK85" i="1" s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H84" i="1"/>
  <c r="AH84" i="1" s="1"/>
  <c r="AL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H83" i="1"/>
  <c r="AH83" i="1" s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H82" i="1"/>
  <c r="AK82" i="1" s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H81" i="1"/>
  <c r="AL81" i="1" s="1"/>
  <c r="AL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H80" i="1"/>
  <c r="AK80" i="1" s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H79" i="1"/>
  <c r="AK79" i="1" s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H78" i="1"/>
  <c r="AH78" i="1" s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H77" i="1"/>
  <c r="AH77" i="1" s="1"/>
  <c r="AL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H76" i="1"/>
  <c r="AK76" i="1" s="1"/>
  <c r="AJ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H75" i="1"/>
  <c r="AL75" i="1" s="1"/>
  <c r="AL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H74" i="1"/>
  <c r="AK74" i="1" s="1"/>
  <c r="AJ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H73" i="1"/>
  <c r="AK73" i="1" s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H72" i="1"/>
  <c r="AH72" i="1" s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H71" i="1"/>
  <c r="AH71" i="1" s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H70" i="1"/>
  <c r="AK70" i="1" s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H69" i="1"/>
  <c r="AL69" i="1" s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H68" i="1"/>
  <c r="AK68" i="1" s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H67" i="1"/>
  <c r="AK67" i="1" s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H66" i="1"/>
  <c r="AH66" i="1" s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H65" i="1"/>
  <c r="AH65" i="1" s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H64" i="1"/>
  <c r="AK64" i="1" s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H63" i="1"/>
  <c r="AL63" i="1" s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H62" i="1"/>
  <c r="AH62" i="1" s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H61" i="1"/>
  <c r="AH61" i="1" s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H60" i="1"/>
  <c r="AK60" i="1" s="1"/>
  <c r="AG3" i="1"/>
  <c r="H5" i="1"/>
  <c r="AL5" i="1" s="1"/>
  <c r="H4" i="1"/>
  <c r="AL4" i="1" s="1"/>
  <c r="H6" i="1"/>
  <c r="AL6" i="1" s="1"/>
  <c r="H7" i="1"/>
  <c r="AI7" i="1" s="1"/>
  <c r="H8" i="1"/>
  <c r="AI8" i="1" s="1"/>
  <c r="H9" i="1"/>
  <c r="AK9" i="1" s="1"/>
  <c r="H10" i="1"/>
  <c r="AK10" i="1" s="1"/>
  <c r="H11" i="1"/>
  <c r="AK11" i="1" s="1"/>
  <c r="H12" i="1"/>
  <c r="AH12" i="1" s="1"/>
  <c r="H13" i="1"/>
  <c r="AH13" i="1" s="1"/>
  <c r="H14" i="1"/>
  <c r="AJ14" i="1" s="1"/>
  <c r="H15" i="1"/>
  <c r="AJ15" i="1" s="1"/>
  <c r="H16" i="1"/>
  <c r="AL16" i="1" s="1"/>
  <c r="H17" i="1"/>
  <c r="AL17" i="1" s="1"/>
  <c r="H18" i="1"/>
  <c r="AL18" i="1" s="1"/>
  <c r="H19" i="1"/>
  <c r="AI19" i="1" s="1"/>
  <c r="H20" i="1"/>
  <c r="AI20" i="1" s="1"/>
  <c r="H21" i="1"/>
  <c r="AK21" i="1" s="1"/>
  <c r="H22" i="1"/>
  <c r="AK22" i="1" s="1"/>
  <c r="H23" i="1"/>
  <c r="AK23" i="1" s="1"/>
  <c r="H24" i="1"/>
  <c r="AH24" i="1" s="1"/>
  <c r="H25" i="1"/>
  <c r="AH25" i="1" s="1"/>
  <c r="H26" i="1"/>
  <c r="AJ26" i="1" s="1"/>
  <c r="H27" i="1"/>
  <c r="AJ27" i="1" s="1"/>
  <c r="H28" i="1"/>
  <c r="AL28" i="1" s="1"/>
  <c r="H29" i="1"/>
  <c r="AL29" i="1" s="1"/>
  <c r="H30" i="1"/>
  <c r="AL30" i="1" s="1"/>
  <c r="H31" i="1"/>
  <c r="AI31" i="1" s="1"/>
  <c r="H32" i="1"/>
  <c r="AI32" i="1" s="1"/>
  <c r="H33" i="1"/>
  <c r="AK33" i="1" s="1"/>
  <c r="H34" i="1"/>
  <c r="AK34" i="1" s="1"/>
  <c r="H35" i="1"/>
  <c r="AK35" i="1" s="1"/>
  <c r="H36" i="1"/>
  <c r="AH36" i="1" s="1"/>
  <c r="H37" i="1"/>
  <c r="AH37" i="1" s="1"/>
  <c r="H38" i="1"/>
  <c r="AJ38" i="1" s="1"/>
  <c r="H39" i="1"/>
  <c r="AJ39" i="1" s="1"/>
  <c r="H40" i="1"/>
  <c r="AL40" i="1" s="1"/>
  <c r="H41" i="1"/>
  <c r="AL41" i="1" s="1"/>
  <c r="H42" i="1"/>
  <c r="AL42" i="1" s="1"/>
  <c r="H43" i="1"/>
  <c r="AI43" i="1" s="1"/>
  <c r="H44" i="1"/>
  <c r="AI44" i="1" s="1"/>
  <c r="H45" i="1"/>
  <c r="AK45" i="1" s="1"/>
  <c r="H46" i="1"/>
  <c r="AK46" i="1" s="1"/>
  <c r="H47" i="1"/>
  <c r="AK47" i="1" s="1"/>
  <c r="H48" i="1"/>
  <c r="AH48" i="1" s="1"/>
  <c r="H49" i="1"/>
  <c r="AH49" i="1" s="1"/>
  <c r="H50" i="1"/>
  <c r="AJ50" i="1" s="1"/>
  <c r="H51" i="1"/>
  <c r="AJ51" i="1" s="1"/>
  <c r="H52" i="1"/>
  <c r="AL52" i="1" s="1"/>
  <c r="H53" i="1"/>
  <c r="AL53" i="1" s="1"/>
  <c r="H54" i="1"/>
  <c r="AL54" i="1" s="1"/>
  <c r="H55" i="1"/>
  <c r="AI55" i="1" s="1"/>
  <c r="H56" i="1"/>
  <c r="AI56" i="1" s="1"/>
  <c r="H57" i="1"/>
  <c r="AK57" i="1" s="1"/>
  <c r="H3" i="1"/>
  <c r="AK3" i="1" s="1"/>
  <c r="AB3" i="1"/>
  <c r="W3" i="1"/>
  <c r="V3" i="1"/>
  <c r="U3" i="1"/>
  <c r="S3" i="1"/>
  <c r="R3" i="1"/>
  <c r="O3" i="1"/>
  <c r="N3" i="1"/>
  <c r="AC4" i="1"/>
  <c r="AD4" i="1"/>
  <c r="AE4" i="1"/>
  <c r="AF4" i="1"/>
  <c r="AG4" i="1"/>
  <c r="AC5" i="1"/>
  <c r="AD5" i="1"/>
  <c r="AE5" i="1"/>
  <c r="AF5" i="1"/>
  <c r="AG5" i="1"/>
  <c r="AC6" i="1"/>
  <c r="AD6" i="1"/>
  <c r="AE6" i="1"/>
  <c r="AF6" i="1"/>
  <c r="AG6" i="1"/>
  <c r="AC7" i="1"/>
  <c r="AD7" i="1"/>
  <c r="AE7" i="1"/>
  <c r="AF7" i="1"/>
  <c r="AG7" i="1"/>
  <c r="AC8" i="1"/>
  <c r="AD8" i="1"/>
  <c r="AE8" i="1"/>
  <c r="AF8" i="1"/>
  <c r="AG8" i="1"/>
  <c r="AC9" i="1"/>
  <c r="AD9" i="1"/>
  <c r="AE9" i="1"/>
  <c r="AF9" i="1"/>
  <c r="AG9" i="1"/>
  <c r="AC10" i="1"/>
  <c r="AD10" i="1"/>
  <c r="AE10" i="1"/>
  <c r="AF10" i="1"/>
  <c r="AG10" i="1"/>
  <c r="AC11" i="1"/>
  <c r="AD11" i="1"/>
  <c r="AE11" i="1"/>
  <c r="AF11" i="1"/>
  <c r="AG11" i="1"/>
  <c r="AC12" i="1"/>
  <c r="AD12" i="1"/>
  <c r="AE12" i="1"/>
  <c r="AF12" i="1"/>
  <c r="AG12" i="1"/>
  <c r="AC13" i="1"/>
  <c r="AD13" i="1"/>
  <c r="AE13" i="1"/>
  <c r="AF13" i="1"/>
  <c r="AG13" i="1"/>
  <c r="AC14" i="1"/>
  <c r="AD14" i="1"/>
  <c r="AE14" i="1"/>
  <c r="AF14" i="1"/>
  <c r="AG14" i="1"/>
  <c r="AC15" i="1"/>
  <c r="AD15" i="1"/>
  <c r="AE15" i="1"/>
  <c r="AF15" i="1"/>
  <c r="AG15" i="1"/>
  <c r="AC16" i="1"/>
  <c r="AD16" i="1"/>
  <c r="AE16" i="1"/>
  <c r="AF16" i="1"/>
  <c r="AG16" i="1"/>
  <c r="AC17" i="1"/>
  <c r="AD17" i="1"/>
  <c r="AE17" i="1"/>
  <c r="AF17" i="1"/>
  <c r="AG17" i="1"/>
  <c r="AC18" i="1"/>
  <c r="AD18" i="1"/>
  <c r="AE18" i="1"/>
  <c r="AF18" i="1"/>
  <c r="AG18" i="1"/>
  <c r="AC19" i="1"/>
  <c r="AD19" i="1"/>
  <c r="AE19" i="1"/>
  <c r="AF19" i="1"/>
  <c r="AG19" i="1"/>
  <c r="AC20" i="1"/>
  <c r="AD20" i="1"/>
  <c r="AE20" i="1"/>
  <c r="AF20" i="1"/>
  <c r="AG20" i="1"/>
  <c r="AC21" i="1"/>
  <c r="AD21" i="1"/>
  <c r="AE21" i="1"/>
  <c r="AF21" i="1"/>
  <c r="AG21" i="1"/>
  <c r="AC22" i="1"/>
  <c r="AD22" i="1"/>
  <c r="AE22" i="1"/>
  <c r="AF22" i="1"/>
  <c r="AG22" i="1"/>
  <c r="AC23" i="1"/>
  <c r="AD23" i="1"/>
  <c r="AE23" i="1"/>
  <c r="AF23" i="1"/>
  <c r="AG23" i="1"/>
  <c r="AC24" i="1"/>
  <c r="AD24" i="1"/>
  <c r="AE24" i="1"/>
  <c r="AF24" i="1"/>
  <c r="AG24" i="1"/>
  <c r="AC25" i="1"/>
  <c r="AD25" i="1"/>
  <c r="AE25" i="1"/>
  <c r="AF25" i="1"/>
  <c r="AG25" i="1"/>
  <c r="AC26" i="1"/>
  <c r="AD26" i="1"/>
  <c r="AE26" i="1"/>
  <c r="AF26" i="1"/>
  <c r="AG26" i="1"/>
  <c r="AC27" i="1"/>
  <c r="AD27" i="1"/>
  <c r="AE27" i="1"/>
  <c r="AF27" i="1"/>
  <c r="AG27" i="1"/>
  <c r="AC28" i="1"/>
  <c r="AD28" i="1"/>
  <c r="AE28" i="1"/>
  <c r="AF28" i="1"/>
  <c r="AG28" i="1"/>
  <c r="AC29" i="1"/>
  <c r="AD29" i="1"/>
  <c r="AE29" i="1"/>
  <c r="AF29" i="1"/>
  <c r="AG29" i="1"/>
  <c r="AC30" i="1"/>
  <c r="AD30" i="1"/>
  <c r="AE30" i="1"/>
  <c r="AF30" i="1"/>
  <c r="AG30" i="1"/>
  <c r="AC31" i="1"/>
  <c r="AD31" i="1"/>
  <c r="AE31" i="1"/>
  <c r="AF31" i="1"/>
  <c r="AG31" i="1"/>
  <c r="AC32" i="1"/>
  <c r="AD32" i="1"/>
  <c r="AE32" i="1"/>
  <c r="AF32" i="1"/>
  <c r="AG32" i="1"/>
  <c r="AC33" i="1"/>
  <c r="AD33" i="1"/>
  <c r="AE33" i="1"/>
  <c r="AF33" i="1"/>
  <c r="AG33" i="1"/>
  <c r="AC34" i="1"/>
  <c r="AD34" i="1"/>
  <c r="AE34" i="1"/>
  <c r="AF34" i="1"/>
  <c r="AG34" i="1"/>
  <c r="AC35" i="1"/>
  <c r="AD35" i="1"/>
  <c r="AE35" i="1"/>
  <c r="AF35" i="1"/>
  <c r="AG35" i="1"/>
  <c r="AC36" i="1"/>
  <c r="AD36" i="1"/>
  <c r="AE36" i="1"/>
  <c r="AF36" i="1"/>
  <c r="AG36" i="1"/>
  <c r="AC37" i="1"/>
  <c r="AD37" i="1"/>
  <c r="AE37" i="1"/>
  <c r="AF37" i="1"/>
  <c r="AG37" i="1"/>
  <c r="AC38" i="1"/>
  <c r="AD38" i="1"/>
  <c r="AE38" i="1"/>
  <c r="AF38" i="1"/>
  <c r="AG38" i="1"/>
  <c r="AC39" i="1"/>
  <c r="AD39" i="1"/>
  <c r="AE39" i="1"/>
  <c r="AF39" i="1"/>
  <c r="AG39" i="1"/>
  <c r="AC40" i="1"/>
  <c r="AD40" i="1"/>
  <c r="AE40" i="1"/>
  <c r="AF40" i="1"/>
  <c r="AG40" i="1"/>
  <c r="AC41" i="1"/>
  <c r="AD41" i="1"/>
  <c r="AE41" i="1"/>
  <c r="AF41" i="1"/>
  <c r="AG41" i="1"/>
  <c r="AC42" i="1"/>
  <c r="AD42" i="1"/>
  <c r="AE42" i="1"/>
  <c r="AF42" i="1"/>
  <c r="AG42" i="1"/>
  <c r="AC43" i="1"/>
  <c r="AD43" i="1"/>
  <c r="AE43" i="1"/>
  <c r="AF43" i="1"/>
  <c r="AG43" i="1"/>
  <c r="AC44" i="1"/>
  <c r="AD44" i="1"/>
  <c r="AE44" i="1"/>
  <c r="AF44" i="1"/>
  <c r="AG44" i="1"/>
  <c r="AC45" i="1"/>
  <c r="AD45" i="1"/>
  <c r="AE45" i="1"/>
  <c r="AF45" i="1"/>
  <c r="AG45" i="1"/>
  <c r="AC46" i="1"/>
  <c r="AD46" i="1"/>
  <c r="AE46" i="1"/>
  <c r="AF46" i="1"/>
  <c r="AG46" i="1"/>
  <c r="AC47" i="1"/>
  <c r="AD47" i="1"/>
  <c r="AE47" i="1"/>
  <c r="AF47" i="1"/>
  <c r="AG47" i="1"/>
  <c r="AC48" i="1"/>
  <c r="AD48" i="1"/>
  <c r="AE48" i="1"/>
  <c r="AF48" i="1"/>
  <c r="AG48" i="1"/>
  <c r="AC49" i="1"/>
  <c r="AD49" i="1"/>
  <c r="AE49" i="1"/>
  <c r="AF49" i="1"/>
  <c r="AG49" i="1"/>
  <c r="AC50" i="1"/>
  <c r="AD50" i="1"/>
  <c r="AE50" i="1"/>
  <c r="AF50" i="1"/>
  <c r="AG50" i="1"/>
  <c r="AC51" i="1"/>
  <c r="AD51" i="1"/>
  <c r="AE51" i="1"/>
  <c r="AF51" i="1"/>
  <c r="AG51" i="1"/>
  <c r="AC52" i="1"/>
  <c r="AD52" i="1"/>
  <c r="AE52" i="1"/>
  <c r="AF52" i="1"/>
  <c r="AG52" i="1"/>
  <c r="AC53" i="1"/>
  <c r="AD53" i="1"/>
  <c r="AE53" i="1"/>
  <c r="AF53" i="1"/>
  <c r="AG53" i="1"/>
  <c r="AC54" i="1"/>
  <c r="AD54" i="1"/>
  <c r="AE54" i="1"/>
  <c r="AF54" i="1"/>
  <c r="AG54" i="1"/>
  <c r="AC55" i="1"/>
  <c r="AD55" i="1"/>
  <c r="AE55" i="1"/>
  <c r="AF55" i="1"/>
  <c r="AG55" i="1"/>
  <c r="AC56" i="1"/>
  <c r="AD56" i="1"/>
  <c r="AE56" i="1"/>
  <c r="AF56" i="1"/>
  <c r="AG56" i="1"/>
  <c r="AC57" i="1"/>
  <c r="AD57" i="1"/>
  <c r="AE57" i="1"/>
  <c r="AF57" i="1"/>
  <c r="AG57" i="1"/>
  <c r="AE3" i="1"/>
  <c r="AF3" i="1"/>
  <c r="AD3" i="1"/>
  <c r="AC3" i="1"/>
  <c r="X4" i="1"/>
  <c r="Y4" i="1"/>
  <c r="Z4" i="1"/>
  <c r="AA4" i="1"/>
  <c r="AB4" i="1"/>
  <c r="X5" i="1"/>
  <c r="Y5" i="1"/>
  <c r="Z5" i="1"/>
  <c r="AA5" i="1"/>
  <c r="AB5" i="1"/>
  <c r="X6" i="1"/>
  <c r="Y6" i="1"/>
  <c r="Z6" i="1"/>
  <c r="AA6" i="1"/>
  <c r="AB6" i="1"/>
  <c r="X7" i="1"/>
  <c r="Y7" i="1"/>
  <c r="Z7" i="1"/>
  <c r="AA7" i="1"/>
  <c r="AB7" i="1"/>
  <c r="X8" i="1"/>
  <c r="Y8" i="1"/>
  <c r="Z8" i="1"/>
  <c r="AA8" i="1"/>
  <c r="AB8" i="1"/>
  <c r="X9" i="1"/>
  <c r="Y9" i="1"/>
  <c r="Z9" i="1"/>
  <c r="AA9" i="1"/>
  <c r="AB9" i="1"/>
  <c r="X10" i="1"/>
  <c r="Y10" i="1"/>
  <c r="Z10" i="1"/>
  <c r="AA10" i="1"/>
  <c r="AB10" i="1"/>
  <c r="X11" i="1"/>
  <c r="Y11" i="1"/>
  <c r="Z11" i="1"/>
  <c r="AA11" i="1"/>
  <c r="AB11" i="1"/>
  <c r="X12" i="1"/>
  <c r="Y12" i="1"/>
  <c r="Z12" i="1"/>
  <c r="AA12" i="1"/>
  <c r="AB12" i="1"/>
  <c r="X13" i="1"/>
  <c r="Y13" i="1"/>
  <c r="Z13" i="1"/>
  <c r="AA13" i="1"/>
  <c r="AB13" i="1"/>
  <c r="X14" i="1"/>
  <c r="Y14" i="1"/>
  <c r="Z14" i="1"/>
  <c r="AA14" i="1"/>
  <c r="AB14" i="1"/>
  <c r="X15" i="1"/>
  <c r="Y15" i="1"/>
  <c r="Z15" i="1"/>
  <c r="AA15" i="1"/>
  <c r="AB15" i="1"/>
  <c r="X16" i="1"/>
  <c r="Y16" i="1"/>
  <c r="Z16" i="1"/>
  <c r="AA16" i="1"/>
  <c r="AB16" i="1"/>
  <c r="X17" i="1"/>
  <c r="Y17" i="1"/>
  <c r="Z17" i="1"/>
  <c r="AA17" i="1"/>
  <c r="AB17" i="1"/>
  <c r="X18" i="1"/>
  <c r="Y18" i="1"/>
  <c r="Z18" i="1"/>
  <c r="AA18" i="1"/>
  <c r="AB18" i="1"/>
  <c r="X19" i="1"/>
  <c r="Y19" i="1"/>
  <c r="Z19" i="1"/>
  <c r="AA19" i="1"/>
  <c r="AB19" i="1"/>
  <c r="X20" i="1"/>
  <c r="Y20" i="1"/>
  <c r="Z20" i="1"/>
  <c r="AA20" i="1"/>
  <c r="AB20" i="1"/>
  <c r="X21" i="1"/>
  <c r="Y21" i="1"/>
  <c r="Z21" i="1"/>
  <c r="AA21" i="1"/>
  <c r="AB21" i="1"/>
  <c r="X22" i="1"/>
  <c r="Y22" i="1"/>
  <c r="Z22" i="1"/>
  <c r="AA22" i="1"/>
  <c r="AB22" i="1"/>
  <c r="X23" i="1"/>
  <c r="Y23" i="1"/>
  <c r="Z23" i="1"/>
  <c r="AA23" i="1"/>
  <c r="AB23" i="1"/>
  <c r="X24" i="1"/>
  <c r="Y24" i="1"/>
  <c r="Z24" i="1"/>
  <c r="AA24" i="1"/>
  <c r="AB24" i="1"/>
  <c r="X25" i="1"/>
  <c r="Y25" i="1"/>
  <c r="Z25" i="1"/>
  <c r="AA25" i="1"/>
  <c r="AB25" i="1"/>
  <c r="X26" i="1"/>
  <c r="Y26" i="1"/>
  <c r="Z26" i="1"/>
  <c r="AA26" i="1"/>
  <c r="AB26" i="1"/>
  <c r="X27" i="1"/>
  <c r="Y27" i="1"/>
  <c r="Z27" i="1"/>
  <c r="AA27" i="1"/>
  <c r="AB27" i="1"/>
  <c r="X28" i="1"/>
  <c r="Y28" i="1"/>
  <c r="Z28" i="1"/>
  <c r="AA28" i="1"/>
  <c r="AB28" i="1"/>
  <c r="X29" i="1"/>
  <c r="Y29" i="1"/>
  <c r="Z29" i="1"/>
  <c r="AA29" i="1"/>
  <c r="AB29" i="1"/>
  <c r="X30" i="1"/>
  <c r="Y30" i="1"/>
  <c r="Z30" i="1"/>
  <c r="AA30" i="1"/>
  <c r="AB30" i="1"/>
  <c r="X31" i="1"/>
  <c r="Y31" i="1"/>
  <c r="Z31" i="1"/>
  <c r="AA31" i="1"/>
  <c r="AB31" i="1"/>
  <c r="X32" i="1"/>
  <c r="Y32" i="1"/>
  <c r="Z32" i="1"/>
  <c r="AA32" i="1"/>
  <c r="AB32" i="1"/>
  <c r="X33" i="1"/>
  <c r="Y33" i="1"/>
  <c r="Z33" i="1"/>
  <c r="AA33" i="1"/>
  <c r="AB33" i="1"/>
  <c r="X34" i="1"/>
  <c r="Y34" i="1"/>
  <c r="Z34" i="1"/>
  <c r="AA34" i="1"/>
  <c r="AB34" i="1"/>
  <c r="X35" i="1"/>
  <c r="Y35" i="1"/>
  <c r="Z35" i="1"/>
  <c r="AA35" i="1"/>
  <c r="AB35" i="1"/>
  <c r="X36" i="1"/>
  <c r="Y36" i="1"/>
  <c r="Z36" i="1"/>
  <c r="AA36" i="1"/>
  <c r="AB36" i="1"/>
  <c r="X37" i="1"/>
  <c r="Y37" i="1"/>
  <c r="Z37" i="1"/>
  <c r="AA37" i="1"/>
  <c r="AB37" i="1"/>
  <c r="X38" i="1"/>
  <c r="Y38" i="1"/>
  <c r="Z38" i="1"/>
  <c r="AA38" i="1"/>
  <c r="AB38" i="1"/>
  <c r="X39" i="1"/>
  <c r="Y39" i="1"/>
  <c r="Z39" i="1"/>
  <c r="AA39" i="1"/>
  <c r="AB39" i="1"/>
  <c r="X40" i="1"/>
  <c r="Y40" i="1"/>
  <c r="Z40" i="1"/>
  <c r="AA40" i="1"/>
  <c r="AB40" i="1"/>
  <c r="X41" i="1"/>
  <c r="Y41" i="1"/>
  <c r="Z41" i="1"/>
  <c r="AA41" i="1"/>
  <c r="AB41" i="1"/>
  <c r="X42" i="1"/>
  <c r="Y42" i="1"/>
  <c r="Z42" i="1"/>
  <c r="AA42" i="1"/>
  <c r="AB42" i="1"/>
  <c r="X43" i="1"/>
  <c r="Y43" i="1"/>
  <c r="Z43" i="1"/>
  <c r="AA43" i="1"/>
  <c r="AB43" i="1"/>
  <c r="X44" i="1"/>
  <c r="Y44" i="1"/>
  <c r="Z44" i="1"/>
  <c r="AA44" i="1"/>
  <c r="AB44" i="1"/>
  <c r="X45" i="1"/>
  <c r="Y45" i="1"/>
  <c r="Z45" i="1"/>
  <c r="AA45" i="1"/>
  <c r="AB45" i="1"/>
  <c r="X46" i="1"/>
  <c r="Y46" i="1"/>
  <c r="Z46" i="1"/>
  <c r="AA46" i="1"/>
  <c r="AB46" i="1"/>
  <c r="X47" i="1"/>
  <c r="Y47" i="1"/>
  <c r="Z47" i="1"/>
  <c r="AA47" i="1"/>
  <c r="AB47" i="1"/>
  <c r="X48" i="1"/>
  <c r="Y48" i="1"/>
  <c r="Z48" i="1"/>
  <c r="AA48" i="1"/>
  <c r="AB48" i="1"/>
  <c r="X49" i="1"/>
  <c r="Y49" i="1"/>
  <c r="Z49" i="1"/>
  <c r="AA49" i="1"/>
  <c r="AB49" i="1"/>
  <c r="X50" i="1"/>
  <c r="Y50" i="1"/>
  <c r="Z50" i="1"/>
  <c r="AA50" i="1"/>
  <c r="AB50" i="1"/>
  <c r="X51" i="1"/>
  <c r="Y51" i="1"/>
  <c r="Z51" i="1"/>
  <c r="AA51" i="1"/>
  <c r="AB51" i="1"/>
  <c r="X52" i="1"/>
  <c r="Y52" i="1"/>
  <c r="Z52" i="1"/>
  <c r="AA52" i="1"/>
  <c r="AB52" i="1"/>
  <c r="X53" i="1"/>
  <c r="Y53" i="1"/>
  <c r="Z53" i="1"/>
  <c r="AA53" i="1"/>
  <c r="AB53" i="1"/>
  <c r="X54" i="1"/>
  <c r="Y54" i="1"/>
  <c r="Z54" i="1"/>
  <c r="AA54" i="1"/>
  <c r="AB54" i="1"/>
  <c r="X55" i="1"/>
  <c r="Y55" i="1"/>
  <c r="Z55" i="1"/>
  <c r="AA55" i="1"/>
  <c r="AB55" i="1"/>
  <c r="X56" i="1"/>
  <c r="Y56" i="1"/>
  <c r="Z56" i="1"/>
  <c r="AA56" i="1"/>
  <c r="AB56" i="1"/>
  <c r="X57" i="1"/>
  <c r="Y57" i="1"/>
  <c r="Z57" i="1"/>
  <c r="AA57" i="1"/>
  <c r="AB57" i="1"/>
  <c r="AA3" i="1"/>
  <c r="Z3" i="1"/>
  <c r="Y3" i="1"/>
  <c r="X3" i="1"/>
  <c r="S52" i="1"/>
  <c r="S4" i="1"/>
  <c r="T4" i="1"/>
  <c r="U4" i="1"/>
  <c r="V4" i="1"/>
  <c r="W4" i="1"/>
  <c r="S5" i="1"/>
  <c r="T5" i="1"/>
  <c r="U5" i="1"/>
  <c r="V5" i="1"/>
  <c r="W5" i="1"/>
  <c r="S6" i="1"/>
  <c r="T6" i="1"/>
  <c r="U6" i="1"/>
  <c r="V6" i="1"/>
  <c r="W6" i="1"/>
  <c r="S7" i="1"/>
  <c r="T7" i="1"/>
  <c r="U7" i="1"/>
  <c r="V7" i="1"/>
  <c r="W7" i="1"/>
  <c r="S8" i="1"/>
  <c r="T8" i="1"/>
  <c r="U8" i="1"/>
  <c r="V8" i="1"/>
  <c r="W8" i="1"/>
  <c r="S9" i="1"/>
  <c r="T9" i="1"/>
  <c r="U9" i="1"/>
  <c r="V9" i="1"/>
  <c r="W9" i="1"/>
  <c r="S10" i="1"/>
  <c r="T10" i="1"/>
  <c r="U10" i="1"/>
  <c r="V10" i="1"/>
  <c r="W10" i="1"/>
  <c r="S11" i="1"/>
  <c r="T11" i="1"/>
  <c r="U11" i="1"/>
  <c r="V11" i="1"/>
  <c r="W11" i="1"/>
  <c r="S12" i="1"/>
  <c r="T12" i="1"/>
  <c r="U12" i="1"/>
  <c r="V12" i="1"/>
  <c r="W12" i="1"/>
  <c r="S13" i="1"/>
  <c r="T13" i="1"/>
  <c r="U13" i="1"/>
  <c r="V13" i="1"/>
  <c r="W13" i="1"/>
  <c r="S14" i="1"/>
  <c r="T14" i="1"/>
  <c r="U14" i="1"/>
  <c r="V14" i="1"/>
  <c r="W14" i="1"/>
  <c r="S15" i="1"/>
  <c r="T15" i="1"/>
  <c r="U15" i="1"/>
  <c r="V15" i="1"/>
  <c r="W15" i="1"/>
  <c r="S16" i="1"/>
  <c r="T16" i="1"/>
  <c r="U16" i="1"/>
  <c r="V16" i="1"/>
  <c r="W16" i="1"/>
  <c r="S17" i="1"/>
  <c r="T17" i="1"/>
  <c r="U17" i="1"/>
  <c r="V17" i="1"/>
  <c r="W17" i="1"/>
  <c r="S18" i="1"/>
  <c r="T18" i="1"/>
  <c r="U18" i="1"/>
  <c r="V18" i="1"/>
  <c r="W18" i="1"/>
  <c r="S19" i="1"/>
  <c r="T19" i="1"/>
  <c r="U19" i="1"/>
  <c r="V19" i="1"/>
  <c r="W19" i="1"/>
  <c r="S20" i="1"/>
  <c r="T20" i="1"/>
  <c r="U20" i="1"/>
  <c r="V20" i="1"/>
  <c r="W20" i="1"/>
  <c r="S21" i="1"/>
  <c r="T21" i="1"/>
  <c r="U21" i="1"/>
  <c r="V21" i="1"/>
  <c r="W21" i="1"/>
  <c r="S22" i="1"/>
  <c r="T22" i="1"/>
  <c r="U22" i="1"/>
  <c r="V22" i="1"/>
  <c r="W22" i="1"/>
  <c r="S23" i="1"/>
  <c r="T23" i="1"/>
  <c r="U23" i="1"/>
  <c r="V23" i="1"/>
  <c r="W23" i="1"/>
  <c r="S24" i="1"/>
  <c r="T24" i="1"/>
  <c r="U24" i="1"/>
  <c r="V24" i="1"/>
  <c r="W24" i="1"/>
  <c r="S25" i="1"/>
  <c r="T25" i="1"/>
  <c r="U25" i="1"/>
  <c r="V25" i="1"/>
  <c r="W25" i="1"/>
  <c r="S26" i="1"/>
  <c r="T26" i="1"/>
  <c r="U26" i="1"/>
  <c r="V26" i="1"/>
  <c r="W26" i="1"/>
  <c r="S27" i="1"/>
  <c r="T27" i="1"/>
  <c r="U27" i="1"/>
  <c r="V27" i="1"/>
  <c r="W27" i="1"/>
  <c r="S28" i="1"/>
  <c r="T28" i="1"/>
  <c r="U28" i="1"/>
  <c r="V28" i="1"/>
  <c r="W28" i="1"/>
  <c r="S29" i="1"/>
  <c r="T29" i="1"/>
  <c r="U29" i="1"/>
  <c r="V29" i="1"/>
  <c r="W29" i="1"/>
  <c r="S30" i="1"/>
  <c r="T30" i="1"/>
  <c r="U30" i="1"/>
  <c r="V30" i="1"/>
  <c r="W30" i="1"/>
  <c r="S31" i="1"/>
  <c r="T31" i="1"/>
  <c r="U31" i="1"/>
  <c r="V31" i="1"/>
  <c r="W31" i="1"/>
  <c r="S32" i="1"/>
  <c r="T32" i="1"/>
  <c r="U32" i="1"/>
  <c r="V32" i="1"/>
  <c r="W32" i="1"/>
  <c r="S33" i="1"/>
  <c r="T33" i="1"/>
  <c r="U33" i="1"/>
  <c r="V33" i="1"/>
  <c r="W33" i="1"/>
  <c r="S34" i="1"/>
  <c r="T34" i="1"/>
  <c r="U34" i="1"/>
  <c r="V34" i="1"/>
  <c r="W34" i="1"/>
  <c r="S35" i="1"/>
  <c r="T35" i="1"/>
  <c r="U35" i="1"/>
  <c r="V35" i="1"/>
  <c r="W35" i="1"/>
  <c r="S36" i="1"/>
  <c r="T36" i="1"/>
  <c r="U36" i="1"/>
  <c r="V36" i="1"/>
  <c r="W36" i="1"/>
  <c r="S37" i="1"/>
  <c r="T37" i="1"/>
  <c r="U37" i="1"/>
  <c r="V37" i="1"/>
  <c r="W37" i="1"/>
  <c r="S38" i="1"/>
  <c r="T38" i="1"/>
  <c r="U38" i="1"/>
  <c r="V38" i="1"/>
  <c r="W38" i="1"/>
  <c r="S39" i="1"/>
  <c r="T39" i="1"/>
  <c r="U39" i="1"/>
  <c r="V39" i="1"/>
  <c r="W39" i="1"/>
  <c r="S40" i="1"/>
  <c r="T40" i="1"/>
  <c r="U40" i="1"/>
  <c r="V40" i="1"/>
  <c r="W40" i="1"/>
  <c r="S41" i="1"/>
  <c r="T41" i="1"/>
  <c r="U41" i="1"/>
  <c r="V41" i="1"/>
  <c r="W41" i="1"/>
  <c r="S42" i="1"/>
  <c r="T42" i="1"/>
  <c r="U42" i="1"/>
  <c r="V42" i="1"/>
  <c r="W42" i="1"/>
  <c r="S43" i="1"/>
  <c r="T43" i="1"/>
  <c r="U43" i="1"/>
  <c r="V43" i="1"/>
  <c r="W43" i="1"/>
  <c r="S44" i="1"/>
  <c r="T44" i="1"/>
  <c r="U44" i="1"/>
  <c r="V44" i="1"/>
  <c r="W44" i="1"/>
  <c r="S45" i="1"/>
  <c r="T45" i="1"/>
  <c r="U45" i="1"/>
  <c r="V45" i="1"/>
  <c r="W45" i="1"/>
  <c r="S46" i="1"/>
  <c r="T46" i="1"/>
  <c r="U46" i="1"/>
  <c r="V46" i="1"/>
  <c r="W46" i="1"/>
  <c r="S47" i="1"/>
  <c r="T47" i="1"/>
  <c r="U47" i="1"/>
  <c r="V47" i="1"/>
  <c r="W47" i="1"/>
  <c r="S48" i="1"/>
  <c r="T48" i="1"/>
  <c r="U48" i="1"/>
  <c r="V48" i="1"/>
  <c r="W48" i="1"/>
  <c r="S49" i="1"/>
  <c r="T49" i="1"/>
  <c r="U49" i="1"/>
  <c r="V49" i="1"/>
  <c r="W49" i="1"/>
  <c r="S50" i="1"/>
  <c r="T50" i="1"/>
  <c r="U50" i="1"/>
  <c r="V50" i="1"/>
  <c r="W50" i="1"/>
  <c r="S51" i="1"/>
  <c r="T51" i="1"/>
  <c r="U51" i="1"/>
  <c r="V51" i="1"/>
  <c r="W51" i="1"/>
  <c r="T52" i="1"/>
  <c r="U52" i="1"/>
  <c r="V52" i="1"/>
  <c r="W52" i="1"/>
  <c r="S53" i="1"/>
  <c r="T53" i="1"/>
  <c r="U53" i="1"/>
  <c r="V53" i="1"/>
  <c r="W53" i="1"/>
  <c r="S54" i="1"/>
  <c r="T54" i="1"/>
  <c r="U54" i="1"/>
  <c r="V54" i="1"/>
  <c r="W54" i="1"/>
  <c r="S55" i="1"/>
  <c r="T55" i="1"/>
  <c r="U55" i="1"/>
  <c r="V55" i="1"/>
  <c r="W55" i="1"/>
  <c r="S56" i="1"/>
  <c r="T56" i="1"/>
  <c r="U56" i="1"/>
  <c r="V56" i="1"/>
  <c r="W56" i="1"/>
  <c r="S57" i="1"/>
  <c r="T57" i="1"/>
  <c r="U57" i="1"/>
  <c r="V57" i="1"/>
  <c r="W57" i="1"/>
  <c r="T3" i="1"/>
  <c r="Q3" i="1"/>
  <c r="P3" i="1"/>
  <c r="N31" i="1"/>
  <c r="O31" i="1"/>
  <c r="P31" i="1"/>
  <c r="Q31" i="1"/>
  <c r="R31" i="1"/>
  <c r="N32" i="1"/>
  <c r="O32" i="1"/>
  <c r="P32" i="1"/>
  <c r="Q32" i="1"/>
  <c r="R32" i="1"/>
  <c r="N33" i="1"/>
  <c r="O33" i="1"/>
  <c r="P33" i="1"/>
  <c r="Q33" i="1"/>
  <c r="R33" i="1"/>
  <c r="N34" i="1"/>
  <c r="O34" i="1"/>
  <c r="P34" i="1"/>
  <c r="Q34" i="1"/>
  <c r="R34" i="1"/>
  <c r="N35" i="1"/>
  <c r="O35" i="1"/>
  <c r="P35" i="1"/>
  <c r="Q35" i="1"/>
  <c r="R35" i="1"/>
  <c r="N36" i="1"/>
  <c r="O36" i="1"/>
  <c r="P36" i="1"/>
  <c r="Q36" i="1"/>
  <c r="R36" i="1"/>
  <c r="N37" i="1"/>
  <c r="O37" i="1"/>
  <c r="P37" i="1"/>
  <c r="Q37" i="1"/>
  <c r="R37" i="1"/>
  <c r="N38" i="1"/>
  <c r="O38" i="1"/>
  <c r="P38" i="1"/>
  <c r="Q38" i="1"/>
  <c r="R38" i="1"/>
  <c r="N39" i="1"/>
  <c r="O39" i="1"/>
  <c r="P39" i="1"/>
  <c r="Q39" i="1"/>
  <c r="R39" i="1"/>
  <c r="N40" i="1"/>
  <c r="O40" i="1"/>
  <c r="P40" i="1"/>
  <c r="Q40" i="1"/>
  <c r="R40" i="1"/>
  <c r="N41" i="1"/>
  <c r="O41" i="1"/>
  <c r="P41" i="1"/>
  <c r="Q41" i="1"/>
  <c r="R41" i="1"/>
  <c r="N42" i="1"/>
  <c r="O42" i="1"/>
  <c r="P42" i="1"/>
  <c r="Q42" i="1"/>
  <c r="R42" i="1"/>
  <c r="N43" i="1"/>
  <c r="O43" i="1"/>
  <c r="P43" i="1"/>
  <c r="Q43" i="1"/>
  <c r="R43" i="1"/>
  <c r="N44" i="1"/>
  <c r="O44" i="1"/>
  <c r="P44" i="1"/>
  <c r="Q44" i="1"/>
  <c r="R44" i="1"/>
  <c r="N45" i="1"/>
  <c r="O45" i="1"/>
  <c r="P45" i="1"/>
  <c r="Q45" i="1"/>
  <c r="R45" i="1"/>
  <c r="N46" i="1"/>
  <c r="O46" i="1"/>
  <c r="P46" i="1"/>
  <c r="Q46" i="1"/>
  <c r="R46" i="1"/>
  <c r="N47" i="1"/>
  <c r="O47" i="1"/>
  <c r="P47" i="1"/>
  <c r="Q47" i="1"/>
  <c r="R47" i="1"/>
  <c r="N48" i="1"/>
  <c r="O48" i="1"/>
  <c r="P48" i="1"/>
  <c r="Q48" i="1"/>
  <c r="R48" i="1"/>
  <c r="N49" i="1"/>
  <c r="O49" i="1"/>
  <c r="P49" i="1"/>
  <c r="Q49" i="1"/>
  <c r="R49" i="1"/>
  <c r="N50" i="1"/>
  <c r="O50" i="1"/>
  <c r="P50" i="1"/>
  <c r="Q50" i="1"/>
  <c r="R50" i="1"/>
  <c r="N51" i="1"/>
  <c r="O51" i="1"/>
  <c r="P51" i="1"/>
  <c r="Q51" i="1"/>
  <c r="R51" i="1"/>
  <c r="N52" i="1"/>
  <c r="O52" i="1"/>
  <c r="P52" i="1"/>
  <c r="Q52" i="1"/>
  <c r="R52" i="1"/>
  <c r="N53" i="1"/>
  <c r="O53" i="1"/>
  <c r="P53" i="1"/>
  <c r="Q53" i="1"/>
  <c r="R53" i="1"/>
  <c r="N54" i="1"/>
  <c r="O54" i="1"/>
  <c r="P54" i="1"/>
  <c r="Q54" i="1"/>
  <c r="R54" i="1"/>
  <c r="N55" i="1"/>
  <c r="O55" i="1"/>
  <c r="P55" i="1"/>
  <c r="Q55" i="1"/>
  <c r="R55" i="1"/>
  <c r="N56" i="1"/>
  <c r="O56" i="1"/>
  <c r="P56" i="1"/>
  <c r="Q56" i="1"/>
  <c r="R56" i="1"/>
  <c r="N57" i="1"/>
  <c r="O57" i="1"/>
  <c r="P57" i="1"/>
  <c r="Q57" i="1"/>
  <c r="R57" i="1"/>
  <c r="P4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Q27" i="1"/>
  <c r="R27" i="1"/>
  <c r="P28" i="1"/>
  <c r="Q28" i="1"/>
  <c r="R28" i="1"/>
  <c r="P29" i="1"/>
  <c r="Q29" i="1"/>
  <c r="R29" i="1"/>
  <c r="P30" i="1"/>
  <c r="Q30" i="1"/>
  <c r="R30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4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AL79" i="1" l="1"/>
  <c r="AJ97" i="1"/>
  <c r="AI71" i="1"/>
  <c r="AJ71" i="1"/>
  <c r="AI61" i="1"/>
  <c r="AI77" i="1"/>
  <c r="AL95" i="1"/>
  <c r="AL60" i="1"/>
  <c r="AJ69" i="1"/>
  <c r="AL68" i="1"/>
  <c r="AJ74" i="1"/>
  <c r="AI75" i="1"/>
  <c r="AJ81" i="1"/>
  <c r="AH91" i="1"/>
  <c r="AH92" i="1"/>
  <c r="AH93" i="1"/>
  <c r="AJ91" i="1"/>
  <c r="AL92" i="1"/>
  <c r="AH67" i="1"/>
  <c r="AL91" i="1"/>
  <c r="AJ93" i="1"/>
  <c r="AI67" i="1"/>
  <c r="AH68" i="1"/>
  <c r="AH69" i="1"/>
  <c r="AL70" i="1"/>
  <c r="AL71" i="1"/>
  <c r="AH85" i="1"/>
  <c r="AI65" i="1"/>
  <c r="AK66" i="1"/>
  <c r="AJ67" i="1"/>
  <c r="AJ68" i="1"/>
  <c r="AI69" i="1"/>
  <c r="AI85" i="1"/>
  <c r="AH86" i="1"/>
  <c r="AH87" i="1"/>
  <c r="AL88" i="1"/>
  <c r="AJ65" i="1"/>
  <c r="AL67" i="1"/>
  <c r="AI83" i="1"/>
  <c r="AK84" i="1"/>
  <c r="AJ86" i="1"/>
  <c r="AI87" i="1"/>
  <c r="AH63" i="1"/>
  <c r="AL64" i="1"/>
  <c r="AL65" i="1"/>
  <c r="AH79" i="1"/>
  <c r="AJ83" i="1"/>
  <c r="AL85" i="1"/>
  <c r="AL86" i="1"/>
  <c r="AJ87" i="1"/>
  <c r="AI63" i="1"/>
  <c r="AI79" i="1"/>
  <c r="AH80" i="1"/>
  <c r="AH81" i="1"/>
  <c r="AL82" i="1"/>
  <c r="AH97" i="1"/>
  <c r="AJ63" i="1"/>
  <c r="AJ79" i="1"/>
  <c r="AJ80" i="1"/>
  <c r="AI81" i="1"/>
  <c r="AI97" i="1"/>
  <c r="AH98" i="1"/>
  <c r="AJ61" i="1"/>
  <c r="AH73" i="1"/>
  <c r="AJ77" i="1"/>
  <c r="AI95" i="1"/>
  <c r="AL97" i="1"/>
  <c r="AL98" i="1"/>
  <c r="AL61" i="1"/>
  <c r="AI73" i="1"/>
  <c r="AL77" i="1"/>
  <c r="AJ95" i="1"/>
  <c r="AL73" i="1"/>
  <c r="AK61" i="1"/>
  <c r="AI62" i="1"/>
  <c r="AK65" i="1"/>
  <c r="AI66" i="1"/>
  <c r="AK71" i="1"/>
  <c r="AI72" i="1"/>
  <c r="AK77" i="1"/>
  <c r="AI78" i="1"/>
  <c r="AK83" i="1"/>
  <c r="AI84" i="1"/>
  <c r="AK89" i="1"/>
  <c r="AI90" i="1"/>
  <c r="AK95" i="1"/>
  <c r="AI96" i="1"/>
  <c r="AJ62" i="1"/>
  <c r="AJ66" i="1"/>
  <c r="AJ72" i="1"/>
  <c r="AJ78" i="1"/>
  <c r="AJ84" i="1"/>
  <c r="AJ90" i="1"/>
  <c r="AJ96" i="1"/>
  <c r="AK62" i="1"/>
  <c r="AL62" i="1"/>
  <c r="AL66" i="1"/>
  <c r="AL72" i="1"/>
  <c r="AL78" i="1"/>
  <c r="AL84" i="1"/>
  <c r="AL90" i="1"/>
  <c r="AL96" i="1"/>
  <c r="AK72" i="1"/>
  <c r="AK90" i="1"/>
  <c r="AI68" i="1"/>
  <c r="AI74" i="1"/>
  <c r="AI80" i="1"/>
  <c r="AI86" i="1"/>
  <c r="AI92" i="1"/>
  <c r="AI98" i="1"/>
  <c r="AK78" i="1"/>
  <c r="AH60" i="1"/>
  <c r="AH64" i="1"/>
  <c r="AH70" i="1"/>
  <c r="AH76" i="1"/>
  <c r="AH82" i="1"/>
  <c r="AH88" i="1"/>
  <c r="AH94" i="1"/>
  <c r="AI60" i="1"/>
  <c r="AK63" i="1"/>
  <c r="AI64" i="1"/>
  <c r="AK69" i="1"/>
  <c r="AI70" i="1"/>
  <c r="AK75" i="1"/>
  <c r="AI76" i="1"/>
  <c r="AK81" i="1"/>
  <c r="AI82" i="1"/>
  <c r="AK87" i="1"/>
  <c r="AI88" i="1"/>
  <c r="AK93" i="1"/>
  <c r="AI94" i="1"/>
  <c r="AK96" i="1"/>
  <c r="AJ60" i="1"/>
  <c r="AJ64" i="1"/>
  <c r="AJ70" i="1"/>
  <c r="AJ76" i="1"/>
  <c r="AJ82" i="1"/>
  <c r="AJ88" i="1"/>
  <c r="AJ94" i="1"/>
  <c r="AH47" i="1"/>
  <c r="AH35" i="1"/>
  <c r="AH23" i="1"/>
  <c r="AH11" i="1"/>
  <c r="AI54" i="1"/>
  <c r="AI42" i="1"/>
  <c r="AI30" i="1"/>
  <c r="AI18" i="1"/>
  <c r="AI6" i="1"/>
  <c r="AJ49" i="1"/>
  <c r="AJ37" i="1"/>
  <c r="AJ25" i="1"/>
  <c r="AJ13" i="1"/>
  <c r="AK56" i="1"/>
  <c r="AK44" i="1"/>
  <c r="AK32" i="1"/>
  <c r="AK20" i="1"/>
  <c r="AK8" i="1"/>
  <c r="AL51" i="1"/>
  <c r="AL39" i="1"/>
  <c r="AL27" i="1"/>
  <c r="AL15" i="1"/>
  <c r="AH3" i="1"/>
  <c r="AH46" i="1"/>
  <c r="AH34" i="1"/>
  <c r="AH22" i="1"/>
  <c r="AH10" i="1"/>
  <c r="AI53" i="1"/>
  <c r="AI41" i="1"/>
  <c r="AI29" i="1"/>
  <c r="AI17" i="1"/>
  <c r="AI5" i="1"/>
  <c r="AJ48" i="1"/>
  <c r="AJ36" i="1"/>
  <c r="AJ24" i="1"/>
  <c r="AJ12" i="1"/>
  <c r="AK55" i="1"/>
  <c r="AK43" i="1"/>
  <c r="AK31" i="1"/>
  <c r="AK19" i="1"/>
  <c r="AK7" i="1"/>
  <c r="AL50" i="1"/>
  <c r="AL38" i="1"/>
  <c r="AL26" i="1"/>
  <c r="AL14" i="1"/>
  <c r="AH57" i="1"/>
  <c r="AH45" i="1"/>
  <c r="AH33" i="1"/>
  <c r="AH21" i="1"/>
  <c r="AH9" i="1"/>
  <c r="AI52" i="1"/>
  <c r="AI40" i="1"/>
  <c r="AI28" i="1"/>
  <c r="AI16" i="1"/>
  <c r="AI4" i="1"/>
  <c r="AJ47" i="1"/>
  <c r="AJ35" i="1"/>
  <c r="AJ23" i="1"/>
  <c r="AJ11" i="1"/>
  <c r="AK54" i="1"/>
  <c r="AK42" i="1"/>
  <c r="AK30" i="1"/>
  <c r="AK18" i="1"/>
  <c r="AK6" i="1"/>
  <c r="AL49" i="1"/>
  <c r="AL37" i="1"/>
  <c r="AL25" i="1"/>
  <c r="AL13" i="1"/>
  <c r="AH56" i="1"/>
  <c r="AH44" i="1"/>
  <c r="AH32" i="1"/>
  <c r="AH20" i="1"/>
  <c r="AH8" i="1"/>
  <c r="AI51" i="1"/>
  <c r="AI39" i="1"/>
  <c r="AI27" i="1"/>
  <c r="AI15" i="1"/>
  <c r="AJ3" i="1"/>
  <c r="AJ46" i="1"/>
  <c r="AJ34" i="1"/>
  <c r="AJ22" i="1"/>
  <c r="AJ10" i="1"/>
  <c r="AK53" i="1"/>
  <c r="AK41" i="1"/>
  <c r="AK29" i="1"/>
  <c r="AK17" i="1"/>
  <c r="AK5" i="1"/>
  <c r="AL48" i="1"/>
  <c r="AL36" i="1"/>
  <c r="AL24" i="1"/>
  <c r="AL12" i="1"/>
  <c r="AH55" i="1"/>
  <c r="AH43" i="1"/>
  <c r="AH31" i="1"/>
  <c r="AH19" i="1"/>
  <c r="AH7" i="1"/>
  <c r="AI50" i="1"/>
  <c r="AI38" i="1"/>
  <c r="AI26" i="1"/>
  <c r="AI14" i="1"/>
  <c r="AJ57" i="1"/>
  <c r="AJ45" i="1"/>
  <c r="AJ33" i="1"/>
  <c r="AJ21" i="1"/>
  <c r="AJ9" i="1"/>
  <c r="AK52" i="1"/>
  <c r="AK40" i="1"/>
  <c r="AK28" i="1"/>
  <c r="AK16" i="1"/>
  <c r="AK4" i="1"/>
  <c r="AL47" i="1"/>
  <c r="AL35" i="1"/>
  <c r="AL23" i="1"/>
  <c r="AL11" i="1"/>
  <c r="AH54" i="1"/>
  <c r="AH42" i="1"/>
  <c r="AH30" i="1"/>
  <c r="AH18" i="1"/>
  <c r="AH6" i="1"/>
  <c r="AI49" i="1"/>
  <c r="AI37" i="1"/>
  <c r="AI25" i="1"/>
  <c r="AI13" i="1"/>
  <c r="AJ56" i="1"/>
  <c r="AJ44" i="1"/>
  <c r="AJ32" i="1"/>
  <c r="AJ20" i="1"/>
  <c r="AJ8" i="1"/>
  <c r="AK51" i="1"/>
  <c r="AK39" i="1"/>
  <c r="AK27" i="1"/>
  <c r="AK15" i="1"/>
  <c r="AL3" i="1"/>
  <c r="AL46" i="1"/>
  <c r="AL34" i="1"/>
  <c r="AL22" i="1"/>
  <c r="AL10" i="1"/>
  <c r="AH53" i="1"/>
  <c r="AH41" i="1"/>
  <c r="AH29" i="1"/>
  <c r="AH17" i="1"/>
  <c r="AH5" i="1"/>
  <c r="AI48" i="1"/>
  <c r="AI36" i="1"/>
  <c r="AI24" i="1"/>
  <c r="AI12" i="1"/>
  <c r="AJ55" i="1"/>
  <c r="AJ43" i="1"/>
  <c r="AJ31" i="1"/>
  <c r="AJ19" i="1"/>
  <c r="AJ7" i="1"/>
  <c r="AK50" i="1"/>
  <c r="AK38" i="1"/>
  <c r="AK26" i="1"/>
  <c r="AK14" i="1"/>
  <c r="AL57" i="1"/>
  <c r="AL45" i="1"/>
  <c r="AL33" i="1"/>
  <c r="AL21" i="1"/>
  <c r="AL9" i="1"/>
  <c r="AH52" i="1"/>
  <c r="AH40" i="1"/>
  <c r="AH28" i="1"/>
  <c r="AH16" i="1"/>
  <c r="AH4" i="1"/>
  <c r="AI47" i="1"/>
  <c r="AI35" i="1"/>
  <c r="AI23" i="1"/>
  <c r="AI11" i="1"/>
  <c r="AJ54" i="1"/>
  <c r="AJ42" i="1"/>
  <c r="AJ30" i="1"/>
  <c r="AJ18" i="1"/>
  <c r="AJ6" i="1"/>
  <c r="AK49" i="1"/>
  <c r="AK37" i="1"/>
  <c r="AK25" i="1"/>
  <c r="AK13" i="1"/>
  <c r="AL56" i="1"/>
  <c r="AL44" i="1"/>
  <c r="AL32" i="1"/>
  <c r="AL20" i="1"/>
  <c r="AL8" i="1"/>
  <c r="AH51" i="1"/>
  <c r="AH39" i="1"/>
  <c r="AH27" i="1"/>
  <c r="AH15" i="1"/>
  <c r="AI3" i="1"/>
  <c r="AI46" i="1"/>
  <c r="AI34" i="1"/>
  <c r="AI22" i="1"/>
  <c r="AI10" i="1"/>
  <c r="AJ53" i="1"/>
  <c r="AJ41" i="1"/>
  <c r="AJ29" i="1"/>
  <c r="AJ17" i="1"/>
  <c r="AJ5" i="1"/>
  <c r="AK48" i="1"/>
  <c r="AK36" i="1"/>
  <c r="AK24" i="1"/>
  <c r="AK12" i="1"/>
  <c r="AL55" i="1"/>
  <c r="AL43" i="1"/>
  <c r="AL31" i="1"/>
  <c r="AL19" i="1"/>
  <c r="AL7" i="1"/>
  <c r="AH50" i="1"/>
  <c r="AH38" i="1"/>
  <c r="AH26" i="1"/>
  <c r="AH14" i="1"/>
  <c r="AI57" i="1"/>
  <c r="AI45" i="1"/>
  <c r="AI33" i="1"/>
  <c r="AI21" i="1"/>
  <c r="AI9" i="1"/>
  <c r="AJ52" i="1"/>
  <c r="AJ40" i="1"/>
  <c r="AJ28" i="1"/>
  <c r="AJ16" i="1"/>
  <c r="AJ4" i="1"/>
</calcChain>
</file>

<file path=xl/sharedStrings.xml><?xml version="1.0" encoding="utf-8"?>
<sst xmlns="http://schemas.openxmlformats.org/spreadsheetml/2006/main" count="263" uniqueCount="99">
  <si>
    <t>YE3</t>
  </si>
  <si>
    <t>YVP</t>
  </si>
  <si>
    <t>YEJ</t>
  </si>
  <si>
    <t>YPEJ</t>
  </si>
  <si>
    <t>71M10-4</t>
  </si>
  <si>
    <t>112M-6</t>
  </si>
  <si>
    <t>71M11-4</t>
  </si>
  <si>
    <t>132S-6</t>
  </si>
  <si>
    <t>71M22-4</t>
  </si>
  <si>
    <t>132M1-6</t>
  </si>
  <si>
    <t>71M23-4</t>
  </si>
  <si>
    <t>132M2-6</t>
  </si>
  <si>
    <t>71M24-4</t>
  </si>
  <si>
    <t>160M-6</t>
  </si>
  <si>
    <t>80M1-4</t>
  </si>
  <si>
    <t>160L-6</t>
  </si>
  <si>
    <t>80M2-4</t>
  </si>
  <si>
    <t>180L-6</t>
  </si>
  <si>
    <t>90S-4</t>
  </si>
  <si>
    <t>200L1-6</t>
  </si>
  <si>
    <t>90L-4</t>
  </si>
  <si>
    <t>200L2-6</t>
  </si>
  <si>
    <t>100L1-4</t>
  </si>
  <si>
    <t>225M-6</t>
  </si>
  <si>
    <t>100L2-4</t>
  </si>
  <si>
    <t>250M-6</t>
  </si>
  <si>
    <t>112M-4</t>
  </si>
  <si>
    <t>280S-6</t>
  </si>
  <si>
    <t>132S-4</t>
  </si>
  <si>
    <t>280M-6</t>
  </si>
  <si>
    <t>132M-4</t>
  </si>
  <si>
    <t>80M1-2</t>
  </si>
  <si>
    <t>160M-4</t>
  </si>
  <si>
    <t>80M2-2</t>
  </si>
  <si>
    <t>160L-4</t>
  </si>
  <si>
    <t>90S-2</t>
  </si>
  <si>
    <t>180M-4</t>
  </si>
  <si>
    <t>90L-2</t>
  </si>
  <si>
    <t>180L-4</t>
  </si>
  <si>
    <t>100L-2</t>
  </si>
  <si>
    <t>200L-4</t>
  </si>
  <si>
    <t>112M-2</t>
  </si>
  <si>
    <t>225S-4</t>
  </si>
  <si>
    <t>132S1-2</t>
  </si>
  <si>
    <t>225M-4</t>
  </si>
  <si>
    <t>132S2-2</t>
  </si>
  <si>
    <t>250M-4</t>
  </si>
  <si>
    <t>160M1-2</t>
  </si>
  <si>
    <t>280S-4</t>
  </si>
  <si>
    <t>160M2-2</t>
  </si>
  <si>
    <t>280M-4</t>
  </si>
  <si>
    <t>160L2-2</t>
  </si>
  <si>
    <t>80M2-6</t>
  </si>
  <si>
    <t>180M-2</t>
  </si>
  <si>
    <t>90S-6</t>
  </si>
  <si>
    <t>200L1-2</t>
  </si>
  <si>
    <t>90L-6</t>
  </si>
  <si>
    <t>200L2-2</t>
  </si>
  <si>
    <t>100L-6</t>
  </si>
  <si>
    <t>B5</t>
  </si>
  <si>
    <t>B3</t>
  </si>
  <si>
    <t>B14</t>
  </si>
  <si>
    <t>B35</t>
  </si>
  <si>
    <t>B34</t>
  </si>
  <si>
    <t>Model</t>
  </si>
  <si>
    <t>Power (KW)</t>
  </si>
  <si>
    <t>Premium Efficiency IE3-YE3 Series</t>
  </si>
  <si>
    <t>YE3B5</t>
  </si>
  <si>
    <t>YE3B3</t>
  </si>
  <si>
    <t>YE3B14</t>
  </si>
  <si>
    <t>YE3B35</t>
  </si>
  <si>
    <t>YE3B34</t>
  </si>
  <si>
    <t>YVPB5</t>
  </si>
  <si>
    <t>YVPB3</t>
  </si>
  <si>
    <t>YVPB14</t>
  </si>
  <si>
    <t>VPB35</t>
  </si>
  <si>
    <t>YVPB34</t>
  </si>
  <si>
    <t>YEJB5</t>
  </si>
  <si>
    <t>YEJB3</t>
  </si>
  <si>
    <t>YEJB14</t>
  </si>
  <si>
    <t>YEJB35</t>
  </si>
  <si>
    <t>YEJB34</t>
  </si>
  <si>
    <t>YPEJB5</t>
  </si>
  <si>
    <t>YPEJB3</t>
  </si>
  <si>
    <t>YPEJB14</t>
  </si>
  <si>
    <t>YPEJB35</t>
  </si>
  <si>
    <t>YPEJB34</t>
  </si>
  <si>
    <t>YBB5</t>
  </si>
  <si>
    <t>YBB3</t>
  </si>
  <si>
    <t>YBB14</t>
  </si>
  <si>
    <t>YBB35</t>
  </si>
  <si>
    <t>YBB34</t>
  </si>
  <si>
    <t>YB</t>
  </si>
  <si>
    <t>YE4</t>
  </si>
  <si>
    <t>632-4</t>
  </si>
  <si>
    <t>711-4</t>
  </si>
  <si>
    <t>712-4</t>
  </si>
  <si>
    <t>801-4</t>
  </si>
  <si>
    <t>802-6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</si>
</sst>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0" fillId="0" borderId="0" xfId="0" applyNumberFormat="1"/>
    <xf numFmtId="0" fontId="2" fillId="0" borderId="1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8"/>
  <sheetViews>
    <sheetView tabSelected="1" workbookViewId="0">
      <pane ySplit="2" topLeftCell="A56" activePane="bottomLeft" state="frozen"/>
      <selection pane="bottomLeft" activeCell="G64" sqref="G64"/>
    </sheetView>
  </sheetViews>
  <sheetFormatPr defaultRowHeight="14.5" x14ac:dyDescent="0.35"/>
  <cols>
    <col min="2" max="2" width="10" customWidth="1"/>
    <col min="3" max="8" width="9" customWidth="1"/>
  </cols>
  <sheetData>
    <row r="1" spans="1:38" ht="30" customHeight="1" x14ac:dyDescent="0.35">
      <c r="B1" s="11" t="s">
        <v>66</v>
      </c>
      <c r="C1" s="12"/>
      <c r="D1" s="12"/>
      <c r="E1" s="12"/>
      <c r="F1" s="12"/>
      <c r="G1" s="12"/>
    </row>
    <row r="2" spans="1:38" ht="25" customHeight="1" x14ac:dyDescent="0.35">
      <c r="A2" s="13" t="s">
        <v>64</v>
      </c>
      <c r="B2" s="13"/>
      <c r="C2" s="1" t="s">
        <v>65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92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67</v>
      </c>
      <c r="O2" s="1" t="s">
        <v>68</v>
      </c>
      <c r="P2" s="1" t="s">
        <v>69</v>
      </c>
      <c r="Q2" s="1" t="s">
        <v>70</v>
      </c>
      <c r="R2" s="1" t="s">
        <v>71</v>
      </c>
      <c r="S2" s="1" t="s">
        <v>72</v>
      </c>
      <c r="T2" s="1" t="s">
        <v>73</v>
      </c>
      <c r="U2" s="1" t="s">
        <v>74</v>
      </c>
      <c r="V2" s="1" t="s">
        <v>75</v>
      </c>
      <c r="W2" s="1" t="s">
        <v>76</v>
      </c>
      <c r="X2" s="1" t="s">
        <v>77</v>
      </c>
      <c r="Y2" s="1" t="s">
        <v>78</v>
      </c>
      <c r="Z2" s="1" t="s">
        <v>79</v>
      </c>
      <c r="AA2" s="1" t="s">
        <v>80</v>
      </c>
      <c r="AB2" s="1" t="s">
        <v>81</v>
      </c>
      <c r="AC2" s="1" t="s">
        <v>82</v>
      </c>
      <c r="AD2" s="1" t="s">
        <v>83</v>
      </c>
      <c r="AE2" s="1" t="s">
        <v>84</v>
      </c>
      <c r="AF2" s="1" t="s">
        <v>85</v>
      </c>
      <c r="AG2" s="1" t="s">
        <v>86</v>
      </c>
      <c r="AH2" s="1" t="s">
        <v>87</v>
      </c>
      <c r="AI2" s="1" t="s">
        <v>88</v>
      </c>
      <c r="AJ2" s="1" t="s">
        <v>89</v>
      </c>
      <c r="AK2" s="1" t="s">
        <v>90</v>
      </c>
      <c r="AL2" s="1" t="s">
        <v>91</v>
      </c>
    </row>
    <row r="3" spans="1:38" x14ac:dyDescent="0.35">
      <c r="A3" s="8" t="s">
        <v>0</v>
      </c>
      <c r="B3" s="9" t="s">
        <v>4</v>
      </c>
      <c r="C3" s="10">
        <v>0.18</v>
      </c>
      <c r="D3" s="10">
        <v>35.89</v>
      </c>
      <c r="E3" s="10">
        <v>56.96</v>
      </c>
      <c r="F3" s="10">
        <v>70.05</v>
      </c>
      <c r="G3" s="10">
        <v>108.56</v>
      </c>
      <c r="H3" s="10">
        <f>G3*1.25</f>
        <v>135.69999999999999</v>
      </c>
      <c r="I3" s="5">
        <v>5</v>
      </c>
      <c r="J3" s="4">
        <v>1</v>
      </c>
      <c r="K3" s="4">
        <v>3</v>
      </c>
      <c r="L3" s="4">
        <v>10</v>
      </c>
      <c r="M3" s="4">
        <v>10</v>
      </c>
      <c r="N3" s="6">
        <f t="shared" ref="N3:N34" si="0">(D3+I3)*33*1.1*1.2*1.1*1.7</f>
        <v>3330.7849080000005</v>
      </c>
      <c r="O3" s="6">
        <f t="shared" ref="O3:O34" si="1">(D3+J3)*33*1.1*1.2*1.1*1.7</f>
        <v>3004.9561080000008</v>
      </c>
      <c r="P3" s="6">
        <f t="shared" ref="P3:P34" si="2">(D3+K3)*33*1.1*1.2*1.1*1.7</f>
        <v>3167.8705080000009</v>
      </c>
      <c r="Q3" s="6">
        <f t="shared" ref="Q3:Q34" si="3">(D3+L3)*33*1.1*1.2*1.1*1.7</f>
        <v>3738.0709080000006</v>
      </c>
      <c r="R3" s="6">
        <f t="shared" ref="R3:R34" si="4">(D3+M3)*33*1.1*1.2*1.1*1.7</f>
        <v>3738.0709080000006</v>
      </c>
      <c r="S3" s="6">
        <f>(E3+I3)*33*1.1*1.2*1.1*1.7</f>
        <v>5047.0881120000004</v>
      </c>
      <c r="T3" s="6">
        <f>(E3+J3)*33*1.1*1.2*1.1*1.7</f>
        <v>4721.259312000001</v>
      </c>
      <c r="U3" s="6">
        <f>(E3+K3)*33*1.1*1.2*1.1*1.7</f>
        <v>4884.1737120000007</v>
      </c>
      <c r="V3" s="6">
        <f>(E3+L3)*33*1.1*1.2*1.1*1.7</f>
        <v>5454.3741120000022</v>
      </c>
      <c r="W3" s="6">
        <f>(E3+M3)*33*1.1*1.2*1.1*1.7</f>
        <v>5454.3741120000022</v>
      </c>
      <c r="X3" s="6">
        <f>(F3+I3)*33*1.1*1.2*1.1*1.7</f>
        <v>6113.3628600000011</v>
      </c>
      <c r="Y3" s="6">
        <f>(F3+J3)*33*1.1*1.2*1.1*1.7</f>
        <v>5787.53406</v>
      </c>
      <c r="Z3" s="6">
        <f>(F3+K3)*33*1.1*1.2*1.1*1.7</f>
        <v>5950.4484600000005</v>
      </c>
      <c r="AA3" s="6">
        <f>(F3+L3)*33*1.1*1.2*1.1*1.7</f>
        <v>6520.6488600000012</v>
      </c>
      <c r="AB3" s="6">
        <f>(F3+M3)*33*1.1*1.2*1.1*1.7</f>
        <v>6520.6488600000012</v>
      </c>
      <c r="AC3" s="6">
        <f>(G3+I3)*33*1.1*1.2*1.1*1.7</f>
        <v>9250.2796319999998</v>
      </c>
      <c r="AD3" s="6">
        <f>(G3+J3)*33*1.1*1.2*1.1*1.7</f>
        <v>8924.4508320000004</v>
      </c>
      <c r="AE3" s="6">
        <f>(G3+K3)*33*1.1*1.2*1.1*1.7</f>
        <v>9087.3652320000019</v>
      </c>
      <c r="AF3" s="6">
        <f>(G3+L3)*33*1.1*1.2*1.1*1.7</f>
        <v>9657.5656319999998</v>
      </c>
      <c r="AG3" s="6">
        <f>(G3+M3)*33*1.1*1.2*1.1*1.7</f>
        <v>9657.5656319999998</v>
      </c>
      <c r="AH3" s="6">
        <f>(H3+I3)*33*1.1*1.2*1.1*1.7</f>
        <v>11461.028040000001</v>
      </c>
      <c r="AI3" s="6">
        <f>(H3+J3)*33*1.1*1.2*1.1*1.7</f>
        <v>11135.19924</v>
      </c>
      <c r="AJ3" s="6">
        <f>(H3+K3)*33*1.1*1.2*1.1*1.7</f>
        <v>11298.113639999998</v>
      </c>
      <c r="AK3" s="6">
        <f>(H3+L3)*33*1.1*1.2*1.1*1.7</f>
        <v>11868.314039999999</v>
      </c>
      <c r="AL3" s="6">
        <f>(H3+M3)*33*1.1*1.2*1.1*1.7</f>
        <v>11868.314039999999</v>
      </c>
    </row>
    <row r="4" spans="1:38" x14ac:dyDescent="0.35">
      <c r="A4" s="7" t="s">
        <v>0</v>
      </c>
      <c r="B4" s="2" t="s">
        <v>6</v>
      </c>
      <c r="C4" s="3">
        <v>0.25</v>
      </c>
      <c r="D4" s="3">
        <v>40.880000000000003</v>
      </c>
      <c r="E4" s="3">
        <v>62.57</v>
      </c>
      <c r="F4" s="3">
        <v>74.66</v>
      </c>
      <c r="G4" s="3">
        <v>110.68</v>
      </c>
      <c r="H4" s="10">
        <f t="shared" ref="H4:H57" si="5">G4*1.25</f>
        <v>138.35000000000002</v>
      </c>
      <c r="I4" s="5">
        <v>5</v>
      </c>
      <c r="J4" s="4">
        <v>1</v>
      </c>
      <c r="K4" s="4">
        <v>3</v>
      </c>
      <c r="L4" s="4">
        <v>10</v>
      </c>
      <c r="M4" s="4">
        <v>10</v>
      </c>
      <c r="N4" s="6">
        <f t="shared" si="0"/>
        <v>3737.2563360000008</v>
      </c>
      <c r="O4" s="6">
        <f t="shared" si="1"/>
        <v>3411.4275360000011</v>
      </c>
      <c r="P4" s="6">
        <f t="shared" si="2"/>
        <v>3574.3419360000003</v>
      </c>
      <c r="Q4" s="6">
        <f t="shared" si="3"/>
        <v>4144.5423360000013</v>
      </c>
      <c r="R4" s="6">
        <f t="shared" si="4"/>
        <v>4144.5423360000013</v>
      </c>
      <c r="S4" s="6">
        <f t="shared" ref="S4:S57" si="6">(E4+I4)*33*1.1*1.2*1.1*1.7</f>
        <v>5504.0630040000005</v>
      </c>
      <c r="T4" s="6">
        <f t="shared" ref="T4:T57" si="7">(E4+J4)*33*1.1*1.2*1.1*1.7</f>
        <v>5178.2342040000012</v>
      </c>
      <c r="U4" s="6">
        <f t="shared" ref="U4:U57" si="8">(E4+K4)*33*1.1*1.2*1.1*1.7</f>
        <v>5341.1486040000009</v>
      </c>
      <c r="V4" s="6">
        <f t="shared" ref="V4:V57" si="9">(E4+L4)*33*1.1*1.2*1.1*1.7</f>
        <v>5911.3490040000015</v>
      </c>
      <c r="W4" s="6">
        <f t="shared" ref="W4:W57" si="10">(E4+M4)*33*1.1*1.2*1.1*1.7</f>
        <v>5911.3490040000015</v>
      </c>
      <c r="X4" s="6">
        <f t="shared" ref="X4:X57" si="11">(F4+I4)*33*1.1*1.2*1.1*1.7</f>
        <v>6488.8805520000005</v>
      </c>
      <c r="Y4" s="6">
        <f t="shared" ref="Y4:Y57" si="12">(F4+J4)*33*1.1*1.2*1.1*1.7</f>
        <v>6163.0517520000003</v>
      </c>
      <c r="Z4" s="6">
        <f t="shared" ref="Z4:Z57" si="13">(F4+K4)*33*1.1*1.2*1.1*1.7</f>
        <v>6325.9661520000009</v>
      </c>
      <c r="AA4" s="6">
        <f t="shared" ref="AA4:AA57" si="14">(F4+L4)*33*1.1*1.2*1.1*1.7</f>
        <v>6896.1665519999997</v>
      </c>
      <c r="AB4" s="6">
        <f t="shared" ref="AB4:AB57" si="15">(F4+M4)*33*1.1*1.2*1.1*1.7</f>
        <v>6896.1665519999997</v>
      </c>
      <c r="AC4" s="6">
        <f t="shared" ref="AC4:AC57" si="16">(G4+I4)*33*1.1*1.2*1.1*1.7</f>
        <v>9422.9688960000021</v>
      </c>
      <c r="AD4" s="6">
        <f t="shared" ref="AD4:AD57" si="17">(G4+J4)*33*1.1*1.2*1.1*1.7</f>
        <v>9097.140096000001</v>
      </c>
      <c r="AE4" s="6">
        <f t="shared" ref="AE4:AE57" si="18">(G4+K4)*33*1.1*1.2*1.1*1.7</f>
        <v>9260.0544960000007</v>
      </c>
      <c r="AF4" s="6">
        <f t="shared" ref="AF4:AF57" si="19">(G4+L4)*33*1.1*1.2*1.1*1.7</f>
        <v>9830.2548960000022</v>
      </c>
      <c r="AG4" s="6">
        <f t="shared" ref="AG4:AG57" si="20">(G4+M4)*33*1.1*1.2*1.1*1.7</f>
        <v>9830.2548960000022</v>
      </c>
      <c r="AH4" s="6">
        <f t="shared" ref="AH4:AH57" si="21">(H4+I4)*33*1.1*1.2*1.1*1.7</f>
        <v>11676.889620000005</v>
      </c>
      <c r="AI4" s="6">
        <f t="shared" ref="AI4:AI57" si="22">(H4+J4)*33*1.1*1.2*1.1*1.7</f>
        <v>11351.060820000004</v>
      </c>
      <c r="AJ4" s="6">
        <f t="shared" ref="AJ4:AJ57" si="23">(H4+K4)*33*1.1*1.2*1.1*1.7</f>
        <v>11513.975220000004</v>
      </c>
      <c r="AK4" s="6">
        <f t="shared" ref="AK4:AK57" si="24">(H4+L4)*33*1.1*1.2*1.1*1.7</f>
        <v>12084.175620000004</v>
      </c>
      <c r="AL4" s="6">
        <f t="shared" ref="AL4:AL57" si="25">(H4+M4)*33*1.1*1.2*1.1*1.7</f>
        <v>12084.175620000004</v>
      </c>
    </row>
    <row r="5" spans="1:38" x14ac:dyDescent="0.35">
      <c r="A5" s="7" t="s">
        <v>0</v>
      </c>
      <c r="B5" s="2" t="s">
        <v>8</v>
      </c>
      <c r="C5" s="3">
        <v>0.37</v>
      </c>
      <c r="D5" s="3">
        <v>43.62</v>
      </c>
      <c r="E5" s="3">
        <v>65.56</v>
      </c>
      <c r="F5" s="3">
        <v>79.650000000000006</v>
      </c>
      <c r="G5" s="3">
        <v>114.67</v>
      </c>
      <c r="H5" s="10">
        <f>G5*1.25</f>
        <v>143.33750000000001</v>
      </c>
      <c r="I5" s="5">
        <v>5</v>
      </c>
      <c r="J5" s="4">
        <v>1</v>
      </c>
      <c r="K5" s="4">
        <v>3</v>
      </c>
      <c r="L5" s="4">
        <v>10</v>
      </c>
      <c r="M5" s="4">
        <v>10</v>
      </c>
      <c r="N5" s="6">
        <f t="shared" si="0"/>
        <v>3960.4490639999995</v>
      </c>
      <c r="O5" s="6">
        <f t="shared" si="1"/>
        <v>3634.6202639999997</v>
      </c>
      <c r="P5" s="6">
        <f t="shared" si="2"/>
        <v>3797.5346640000002</v>
      </c>
      <c r="Q5" s="6">
        <f t="shared" si="3"/>
        <v>4367.7350640000004</v>
      </c>
      <c r="R5" s="6">
        <f t="shared" si="4"/>
        <v>4367.7350640000004</v>
      </c>
      <c r="S5" s="6">
        <f t="shared" si="6"/>
        <v>5747.6200320000016</v>
      </c>
      <c r="T5" s="6">
        <f t="shared" si="7"/>
        <v>5421.7912320000005</v>
      </c>
      <c r="U5" s="6">
        <f t="shared" si="8"/>
        <v>5584.7056320000002</v>
      </c>
      <c r="V5" s="6">
        <f t="shared" si="9"/>
        <v>6154.9060320000008</v>
      </c>
      <c r="W5" s="6">
        <f t="shared" si="10"/>
        <v>6154.9060320000008</v>
      </c>
      <c r="X5" s="6">
        <f t="shared" si="11"/>
        <v>6895.3519800000013</v>
      </c>
      <c r="Y5" s="6">
        <f t="shared" si="12"/>
        <v>6569.523180000002</v>
      </c>
      <c r="Z5" s="6">
        <f t="shared" si="13"/>
        <v>6732.4375800000025</v>
      </c>
      <c r="AA5" s="6">
        <f t="shared" si="14"/>
        <v>7302.6379800000013</v>
      </c>
      <c r="AB5" s="6">
        <f t="shared" si="15"/>
        <v>7302.6379800000013</v>
      </c>
      <c r="AC5" s="6">
        <f t="shared" si="16"/>
        <v>9747.9831240000021</v>
      </c>
      <c r="AD5" s="6">
        <f t="shared" si="17"/>
        <v>9422.154324000001</v>
      </c>
      <c r="AE5" s="6">
        <f t="shared" si="18"/>
        <v>9585.0687240000007</v>
      </c>
      <c r="AF5" s="6">
        <f t="shared" si="19"/>
        <v>10155.269124</v>
      </c>
      <c r="AG5" s="6">
        <f t="shared" si="20"/>
        <v>10155.269124</v>
      </c>
      <c r="AH5" s="6">
        <f t="shared" si="21"/>
        <v>12083.157404999998</v>
      </c>
      <c r="AI5" s="6">
        <f t="shared" si="22"/>
        <v>11757.328604999999</v>
      </c>
      <c r="AJ5" s="6">
        <f t="shared" si="23"/>
        <v>11920.243005000002</v>
      </c>
      <c r="AK5" s="6">
        <f t="shared" si="24"/>
        <v>12490.443405</v>
      </c>
      <c r="AL5" s="6">
        <f t="shared" si="25"/>
        <v>12490.443405</v>
      </c>
    </row>
    <row r="6" spans="1:38" x14ac:dyDescent="0.35">
      <c r="A6" s="7" t="s">
        <v>0</v>
      </c>
      <c r="B6" s="2" t="s">
        <v>10</v>
      </c>
      <c r="C6" s="3">
        <v>0.55000000000000004</v>
      </c>
      <c r="D6" s="3">
        <v>47.24</v>
      </c>
      <c r="E6" s="3">
        <v>74.290000000000006</v>
      </c>
      <c r="F6" s="3">
        <v>85.13</v>
      </c>
      <c r="G6" s="3">
        <v>117.41</v>
      </c>
      <c r="H6" s="10">
        <f t="shared" si="5"/>
        <v>146.76249999999999</v>
      </c>
      <c r="I6" s="5">
        <v>5</v>
      </c>
      <c r="J6" s="4">
        <v>1</v>
      </c>
      <c r="K6" s="4">
        <v>3</v>
      </c>
      <c r="L6" s="4">
        <v>10</v>
      </c>
      <c r="M6" s="4">
        <v>10</v>
      </c>
      <c r="N6" s="6">
        <f t="shared" si="0"/>
        <v>4255.3241280000002</v>
      </c>
      <c r="O6" s="6">
        <f t="shared" si="1"/>
        <v>3929.4953280000004</v>
      </c>
      <c r="P6" s="6">
        <f t="shared" si="2"/>
        <v>4092.4097280000001</v>
      </c>
      <c r="Q6" s="6">
        <f t="shared" si="3"/>
        <v>4662.6101280000003</v>
      </c>
      <c r="R6" s="6">
        <f t="shared" si="4"/>
        <v>4662.6101280000003</v>
      </c>
      <c r="S6" s="6">
        <f t="shared" si="6"/>
        <v>6458.7413880000013</v>
      </c>
      <c r="T6" s="6">
        <f t="shared" si="7"/>
        <v>6132.9125880000011</v>
      </c>
      <c r="U6" s="6">
        <f t="shared" si="8"/>
        <v>6295.8269880000016</v>
      </c>
      <c r="V6" s="6">
        <f t="shared" si="9"/>
        <v>6866.0273880000004</v>
      </c>
      <c r="W6" s="6">
        <f t="shared" si="10"/>
        <v>6866.0273880000004</v>
      </c>
      <c r="X6" s="6">
        <f t="shared" si="11"/>
        <v>7341.7374359999994</v>
      </c>
      <c r="Y6" s="6">
        <f t="shared" si="12"/>
        <v>7015.9086359999992</v>
      </c>
      <c r="Z6" s="6">
        <f t="shared" si="13"/>
        <v>7178.8230359999998</v>
      </c>
      <c r="AA6" s="6">
        <f t="shared" si="14"/>
        <v>7749.0234360000004</v>
      </c>
      <c r="AB6" s="6">
        <f t="shared" si="15"/>
        <v>7749.0234360000004</v>
      </c>
      <c r="AC6" s="6">
        <f t="shared" si="16"/>
        <v>9971.1758520000021</v>
      </c>
      <c r="AD6" s="6">
        <f t="shared" si="17"/>
        <v>9645.3470520000028</v>
      </c>
      <c r="AE6" s="6">
        <f t="shared" si="18"/>
        <v>9808.2614520000006</v>
      </c>
      <c r="AF6" s="6">
        <f t="shared" si="19"/>
        <v>10378.461852</v>
      </c>
      <c r="AG6" s="6">
        <f t="shared" si="20"/>
        <v>10378.461852</v>
      </c>
      <c r="AH6" s="6">
        <f t="shared" si="21"/>
        <v>12362.148315000002</v>
      </c>
      <c r="AI6" s="6">
        <f t="shared" si="22"/>
        <v>12036.319514999999</v>
      </c>
      <c r="AJ6" s="6">
        <f t="shared" si="23"/>
        <v>12199.233914999999</v>
      </c>
      <c r="AK6" s="6">
        <f t="shared" si="24"/>
        <v>12769.434315</v>
      </c>
      <c r="AL6" s="6">
        <f t="shared" si="25"/>
        <v>12769.434315</v>
      </c>
    </row>
    <row r="7" spans="1:38" x14ac:dyDescent="0.35">
      <c r="A7" s="7" t="s">
        <v>0</v>
      </c>
      <c r="B7" s="2" t="s">
        <v>12</v>
      </c>
      <c r="C7" s="3">
        <v>0.75</v>
      </c>
      <c r="D7" s="3">
        <v>49.73</v>
      </c>
      <c r="E7" s="3">
        <v>77.03</v>
      </c>
      <c r="F7" s="3">
        <v>90.37</v>
      </c>
      <c r="G7" s="3">
        <v>121.65</v>
      </c>
      <c r="H7" s="10">
        <f t="shared" si="5"/>
        <v>152.0625</v>
      </c>
      <c r="I7" s="5">
        <v>5</v>
      </c>
      <c r="J7" s="4">
        <v>1</v>
      </c>
      <c r="K7" s="4">
        <v>3</v>
      </c>
      <c r="L7" s="4">
        <v>10</v>
      </c>
      <c r="M7" s="4">
        <v>10</v>
      </c>
      <c r="N7" s="6">
        <f t="shared" si="0"/>
        <v>4458.152556</v>
      </c>
      <c r="O7" s="6">
        <f t="shared" si="1"/>
        <v>4132.3237560000007</v>
      </c>
      <c r="P7" s="6">
        <f t="shared" si="2"/>
        <v>4295.2381560000003</v>
      </c>
      <c r="Q7" s="6">
        <f t="shared" si="3"/>
        <v>4865.4385560000001</v>
      </c>
      <c r="R7" s="6">
        <f t="shared" si="4"/>
        <v>4865.4385560000001</v>
      </c>
      <c r="S7" s="6">
        <f t="shared" si="6"/>
        <v>6681.9341160000013</v>
      </c>
      <c r="T7" s="6">
        <f t="shared" si="7"/>
        <v>6356.105316000001</v>
      </c>
      <c r="U7" s="6">
        <f t="shared" si="8"/>
        <v>6519.0197160000007</v>
      </c>
      <c r="V7" s="6">
        <f t="shared" si="9"/>
        <v>7089.2201160000004</v>
      </c>
      <c r="W7" s="6">
        <f t="shared" si="10"/>
        <v>7089.2201160000004</v>
      </c>
      <c r="X7" s="6">
        <f t="shared" si="11"/>
        <v>7768.5731640000013</v>
      </c>
      <c r="Y7" s="6">
        <f t="shared" si="12"/>
        <v>7442.7443640000001</v>
      </c>
      <c r="Z7" s="6">
        <f t="shared" si="13"/>
        <v>7605.6587640000007</v>
      </c>
      <c r="AA7" s="6">
        <f t="shared" si="14"/>
        <v>8175.8591640000013</v>
      </c>
      <c r="AB7" s="6">
        <f t="shared" si="15"/>
        <v>8175.8591640000013</v>
      </c>
      <c r="AC7" s="6">
        <f t="shared" si="16"/>
        <v>10316.554380000001</v>
      </c>
      <c r="AD7" s="6">
        <f t="shared" si="17"/>
        <v>9990.7255800000021</v>
      </c>
      <c r="AE7" s="6">
        <f t="shared" si="18"/>
        <v>10153.63998</v>
      </c>
      <c r="AF7" s="6">
        <f t="shared" si="19"/>
        <v>10723.84038</v>
      </c>
      <c r="AG7" s="6">
        <f t="shared" si="20"/>
        <v>10723.84038</v>
      </c>
      <c r="AH7" s="6">
        <f t="shared" si="21"/>
        <v>12793.871475000002</v>
      </c>
      <c r="AI7" s="6">
        <f t="shared" si="22"/>
        <v>12468.042675000002</v>
      </c>
      <c r="AJ7" s="6">
        <f t="shared" si="23"/>
        <v>12630.957075</v>
      </c>
      <c r="AK7" s="6">
        <f t="shared" si="24"/>
        <v>13201.157475</v>
      </c>
      <c r="AL7" s="6">
        <f t="shared" si="25"/>
        <v>13201.157475</v>
      </c>
    </row>
    <row r="8" spans="1:38" x14ac:dyDescent="0.35">
      <c r="A8" s="7" t="s">
        <v>0</v>
      </c>
      <c r="B8" s="2" t="s">
        <v>14</v>
      </c>
      <c r="C8" s="3">
        <v>0.55000000000000004</v>
      </c>
      <c r="D8" s="3">
        <v>57.96</v>
      </c>
      <c r="E8" s="3">
        <v>84.01</v>
      </c>
      <c r="F8" s="3">
        <v>97.1</v>
      </c>
      <c r="G8" s="3">
        <v>125.14</v>
      </c>
      <c r="H8" s="10">
        <f t="shared" si="5"/>
        <v>156.42500000000001</v>
      </c>
      <c r="I8" s="5">
        <v>5</v>
      </c>
      <c r="J8" s="4">
        <v>1</v>
      </c>
      <c r="K8" s="4">
        <v>3</v>
      </c>
      <c r="L8" s="4">
        <v>10</v>
      </c>
      <c r="M8" s="4">
        <v>10</v>
      </c>
      <c r="N8" s="6">
        <f t="shared" si="0"/>
        <v>5128.5453119999993</v>
      </c>
      <c r="O8" s="6">
        <f t="shared" si="1"/>
        <v>4802.716512</v>
      </c>
      <c r="P8" s="6">
        <f t="shared" si="2"/>
        <v>4965.6309120000005</v>
      </c>
      <c r="Q8" s="6">
        <f t="shared" si="3"/>
        <v>5535.8313120000012</v>
      </c>
      <c r="R8" s="6">
        <f t="shared" si="4"/>
        <v>5535.8313120000012</v>
      </c>
      <c r="S8" s="6">
        <f t="shared" si="6"/>
        <v>7250.5053720000014</v>
      </c>
      <c r="T8" s="6">
        <f t="shared" si="7"/>
        <v>6924.6765720000012</v>
      </c>
      <c r="U8" s="6">
        <f t="shared" si="8"/>
        <v>7087.5909720000009</v>
      </c>
      <c r="V8" s="6">
        <f t="shared" si="9"/>
        <v>7657.7913720000015</v>
      </c>
      <c r="W8" s="6">
        <f t="shared" si="10"/>
        <v>7657.7913720000015</v>
      </c>
      <c r="X8" s="6">
        <f t="shared" si="11"/>
        <v>8316.7801199999994</v>
      </c>
      <c r="Y8" s="6">
        <f t="shared" si="12"/>
        <v>7990.951320000001</v>
      </c>
      <c r="Z8" s="6">
        <f t="shared" si="13"/>
        <v>8153.8657199999998</v>
      </c>
      <c r="AA8" s="6">
        <f t="shared" si="14"/>
        <v>8724.0661199999995</v>
      </c>
      <c r="AB8" s="6">
        <f t="shared" si="15"/>
        <v>8724.0661199999995</v>
      </c>
      <c r="AC8" s="6">
        <f t="shared" si="16"/>
        <v>10600.840008000001</v>
      </c>
      <c r="AD8" s="6">
        <f t="shared" si="17"/>
        <v>10275.011208000002</v>
      </c>
      <c r="AE8" s="6">
        <f t="shared" si="18"/>
        <v>10437.925608000001</v>
      </c>
      <c r="AF8" s="6">
        <f t="shared" si="19"/>
        <v>11008.126008000001</v>
      </c>
      <c r="AG8" s="6">
        <f t="shared" si="20"/>
        <v>11008.126008000001</v>
      </c>
      <c r="AH8" s="6">
        <f t="shared" si="21"/>
        <v>13149.228510000003</v>
      </c>
      <c r="AI8" s="6">
        <f t="shared" si="22"/>
        <v>12823.399710000003</v>
      </c>
      <c r="AJ8" s="6">
        <f t="shared" si="23"/>
        <v>12986.314110000003</v>
      </c>
      <c r="AK8" s="6">
        <f t="shared" si="24"/>
        <v>13556.514510000003</v>
      </c>
      <c r="AL8" s="6">
        <f t="shared" si="25"/>
        <v>13556.514510000003</v>
      </c>
    </row>
    <row r="9" spans="1:38" x14ac:dyDescent="0.35">
      <c r="A9" s="7" t="s">
        <v>0</v>
      </c>
      <c r="B9" s="2" t="s">
        <v>16</v>
      </c>
      <c r="C9" s="3">
        <v>0.75</v>
      </c>
      <c r="D9" s="3">
        <v>65.44</v>
      </c>
      <c r="E9" s="3">
        <v>92.11</v>
      </c>
      <c r="F9" s="3">
        <v>100.71</v>
      </c>
      <c r="G9" s="3">
        <v>132.62</v>
      </c>
      <c r="H9" s="10">
        <f t="shared" si="5"/>
        <v>165.77500000000001</v>
      </c>
      <c r="I9" s="5">
        <v>5</v>
      </c>
      <c r="J9" s="4">
        <v>1</v>
      </c>
      <c r="K9" s="4">
        <v>3</v>
      </c>
      <c r="L9" s="4">
        <v>10</v>
      </c>
      <c r="M9" s="4">
        <v>10</v>
      </c>
      <c r="N9" s="6">
        <f t="shared" si="0"/>
        <v>5737.8451680000007</v>
      </c>
      <c r="O9" s="6">
        <f t="shared" si="1"/>
        <v>5412.0163680000014</v>
      </c>
      <c r="P9" s="6">
        <f t="shared" si="2"/>
        <v>5574.9307680000011</v>
      </c>
      <c r="Q9" s="6">
        <f t="shared" si="3"/>
        <v>6145.1311679999999</v>
      </c>
      <c r="R9" s="6">
        <f t="shared" si="4"/>
        <v>6145.1311679999999</v>
      </c>
      <c r="S9" s="6">
        <f t="shared" si="6"/>
        <v>7910.3086920000005</v>
      </c>
      <c r="T9" s="6">
        <f t="shared" si="7"/>
        <v>7584.4798920000003</v>
      </c>
      <c r="U9" s="6">
        <f t="shared" si="8"/>
        <v>7747.3942920000009</v>
      </c>
      <c r="V9" s="6">
        <f t="shared" si="9"/>
        <v>8317.5946920000024</v>
      </c>
      <c r="W9" s="6">
        <f t="shared" si="10"/>
        <v>8317.5946920000024</v>
      </c>
      <c r="X9" s="6">
        <f t="shared" si="11"/>
        <v>8610.8406120000018</v>
      </c>
      <c r="Y9" s="6">
        <f t="shared" si="12"/>
        <v>8285.0118120000006</v>
      </c>
      <c r="Z9" s="6">
        <f t="shared" si="13"/>
        <v>8447.9262120000003</v>
      </c>
      <c r="AA9" s="6">
        <f t="shared" si="14"/>
        <v>9018.126612</v>
      </c>
      <c r="AB9" s="6">
        <f t="shared" si="15"/>
        <v>9018.126612</v>
      </c>
      <c r="AC9" s="6">
        <f t="shared" si="16"/>
        <v>11210.139864000001</v>
      </c>
      <c r="AD9" s="6">
        <f t="shared" si="17"/>
        <v>10884.311064000001</v>
      </c>
      <c r="AE9" s="6">
        <f t="shared" si="18"/>
        <v>11047.225464000001</v>
      </c>
      <c r="AF9" s="6">
        <f t="shared" si="19"/>
        <v>11617.425864000001</v>
      </c>
      <c r="AG9" s="6">
        <f t="shared" si="20"/>
        <v>11617.425864000001</v>
      </c>
      <c r="AH9" s="6">
        <f t="shared" si="21"/>
        <v>13910.853330000002</v>
      </c>
      <c r="AI9" s="6">
        <f t="shared" si="22"/>
        <v>13585.024530000001</v>
      </c>
      <c r="AJ9" s="6">
        <f t="shared" si="23"/>
        <v>13747.93893</v>
      </c>
      <c r="AK9" s="6">
        <f t="shared" si="24"/>
        <v>14318.13933</v>
      </c>
      <c r="AL9" s="6">
        <f t="shared" si="25"/>
        <v>14318.13933</v>
      </c>
    </row>
    <row r="10" spans="1:38" x14ac:dyDescent="0.35">
      <c r="A10" s="7" t="s">
        <v>0</v>
      </c>
      <c r="B10" s="2" t="s">
        <v>18</v>
      </c>
      <c r="C10" s="3">
        <v>1.1000000000000001</v>
      </c>
      <c r="D10" s="3">
        <v>77.03</v>
      </c>
      <c r="E10" s="3">
        <v>105.07</v>
      </c>
      <c r="F10" s="3">
        <v>117.91</v>
      </c>
      <c r="G10" s="3">
        <v>151.94</v>
      </c>
      <c r="H10" s="10">
        <f t="shared" si="5"/>
        <v>189.92500000000001</v>
      </c>
      <c r="I10" s="5">
        <v>5</v>
      </c>
      <c r="J10" s="4">
        <v>1</v>
      </c>
      <c r="K10" s="4">
        <v>3</v>
      </c>
      <c r="L10" s="4">
        <v>10</v>
      </c>
      <c r="M10" s="4">
        <v>10</v>
      </c>
      <c r="N10" s="6">
        <f t="shared" si="0"/>
        <v>6681.9341160000013</v>
      </c>
      <c r="O10" s="6">
        <f t="shared" si="1"/>
        <v>6356.105316000001</v>
      </c>
      <c r="P10" s="6">
        <f t="shared" si="2"/>
        <v>6519.0197160000007</v>
      </c>
      <c r="Q10" s="6">
        <f t="shared" si="3"/>
        <v>7089.2201160000004</v>
      </c>
      <c r="R10" s="6">
        <f t="shared" si="4"/>
        <v>7089.2201160000004</v>
      </c>
      <c r="S10" s="6">
        <f t="shared" si="6"/>
        <v>8965.9940040000001</v>
      </c>
      <c r="T10" s="6">
        <f t="shared" si="7"/>
        <v>8640.1652040000008</v>
      </c>
      <c r="U10" s="6">
        <f t="shared" si="8"/>
        <v>8803.0796040000005</v>
      </c>
      <c r="V10" s="6">
        <f t="shared" si="9"/>
        <v>9373.2800040000002</v>
      </c>
      <c r="W10" s="6">
        <f t="shared" si="10"/>
        <v>9373.2800040000002</v>
      </c>
      <c r="X10" s="6">
        <f t="shared" si="11"/>
        <v>10011.904451999999</v>
      </c>
      <c r="Y10" s="6">
        <f t="shared" si="12"/>
        <v>9686.0756519999995</v>
      </c>
      <c r="Z10" s="6">
        <f t="shared" si="13"/>
        <v>9848.990052000001</v>
      </c>
      <c r="AA10" s="6">
        <f t="shared" si="14"/>
        <v>10419.190451999999</v>
      </c>
      <c r="AB10" s="6">
        <f t="shared" si="15"/>
        <v>10419.190451999999</v>
      </c>
      <c r="AC10" s="6">
        <f t="shared" si="16"/>
        <v>12783.892968</v>
      </c>
      <c r="AD10" s="6">
        <f t="shared" si="17"/>
        <v>12458.064167999999</v>
      </c>
      <c r="AE10" s="6">
        <f t="shared" si="18"/>
        <v>12620.978568</v>
      </c>
      <c r="AF10" s="6">
        <f t="shared" si="19"/>
        <v>13191.178968</v>
      </c>
      <c r="AG10" s="6">
        <f t="shared" si="20"/>
        <v>13191.178968</v>
      </c>
      <c r="AH10" s="6">
        <f t="shared" si="21"/>
        <v>15878.044710000002</v>
      </c>
      <c r="AI10" s="6">
        <f t="shared" si="22"/>
        <v>15552.215910000004</v>
      </c>
      <c r="AJ10" s="6">
        <f t="shared" si="23"/>
        <v>15715.130310000004</v>
      </c>
      <c r="AK10" s="6">
        <f t="shared" si="24"/>
        <v>16285.330710000002</v>
      </c>
      <c r="AL10" s="6">
        <f t="shared" si="25"/>
        <v>16285.330710000002</v>
      </c>
    </row>
    <row r="11" spans="1:38" x14ac:dyDescent="0.35">
      <c r="A11" s="7" t="s">
        <v>0</v>
      </c>
      <c r="B11" s="2" t="s">
        <v>20</v>
      </c>
      <c r="C11" s="3">
        <v>1.5</v>
      </c>
      <c r="D11" s="3">
        <v>89.12</v>
      </c>
      <c r="E11" s="3">
        <v>115.17</v>
      </c>
      <c r="F11" s="3">
        <v>128.88</v>
      </c>
      <c r="G11" s="3">
        <v>163.16</v>
      </c>
      <c r="H11" s="10">
        <f t="shared" si="5"/>
        <v>203.95</v>
      </c>
      <c r="I11" s="5">
        <v>5</v>
      </c>
      <c r="J11" s="4">
        <v>1</v>
      </c>
      <c r="K11" s="4">
        <v>3</v>
      </c>
      <c r="L11" s="4">
        <v>10</v>
      </c>
      <c r="M11" s="4">
        <v>10</v>
      </c>
      <c r="N11" s="6">
        <f t="shared" si="0"/>
        <v>7666.7516640000022</v>
      </c>
      <c r="O11" s="6">
        <f t="shared" si="1"/>
        <v>7340.9228639999992</v>
      </c>
      <c r="P11" s="6">
        <f t="shared" si="2"/>
        <v>7503.8372639999998</v>
      </c>
      <c r="Q11" s="6">
        <f t="shared" si="3"/>
        <v>8074.0376640000022</v>
      </c>
      <c r="R11" s="6">
        <f t="shared" si="4"/>
        <v>8074.0376640000022</v>
      </c>
      <c r="S11" s="6">
        <f t="shared" si="6"/>
        <v>9788.7117240000007</v>
      </c>
      <c r="T11" s="6">
        <f t="shared" si="7"/>
        <v>9462.8829240000014</v>
      </c>
      <c r="U11" s="6">
        <f t="shared" si="8"/>
        <v>9625.7973240000028</v>
      </c>
      <c r="V11" s="6">
        <f t="shared" si="9"/>
        <v>10195.997724000001</v>
      </c>
      <c r="W11" s="6">
        <f t="shared" si="10"/>
        <v>10195.997724000001</v>
      </c>
      <c r="X11" s="6">
        <f t="shared" si="11"/>
        <v>10905.489936</v>
      </c>
      <c r="Y11" s="6">
        <f t="shared" si="12"/>
        <v>10579.661136000001</v>
      </c>
      <c r="Z11" s="6">
        <f t="shared" si="13"/>
        <v>10742.575536000002</v>
      </c>
      <c r="AA11" s="6">
        <f t="shared" si="14"/>
        <v>11312.775936</v>
      </c>
      <c r="AB11" s="6">
        <f t="shared" si="15"/>
        <v>11312.775936</v>
      </c>
      <c r="AC11" s="6">
        <f t="shared" si="16"/>
        <v>13697.842752000002</v>
      </c>
      <c r="AD11" s="6">
        <f t="shared" si="17"/>
        <v>13372.013951999999</v>
      </c>
      <c r="AE11" s="6">
        <f t="shared" si="18"/>
        <v>13534.928352000001</v>
      </c>
      <c r="AF11" s="6">
        <f t="shared" si="19"/>
        <v>14105.128752000001</v>
      </c>
      <c r="AG11" s="6">
        <f t="shared" si="20"/>
        <v>14105.128752000001</v>
      </c>
      <c r="AH11" s="6">
        <f t="shared" si="21"/>
        <v>17020.481939999998</v>
      </c>
      <c r="AI11" s="6">
        <f t="shared" si="22"/>
        <v>16694.653139999999</v>
      </c>
      <c r="AJ11" s="6">
        <f t="shared" si="23"/>
        <v>16857.56754</v>
      </c>
      <c r="AK11" s="6">
        <f t="shared" si="24"/>
        <v>17427.767940000002</v>
      </c>
      <c r="AL11" s="6">
        <f t="shared" si="25"/>
        <v>17427.767940000002</v>
      </c>
    </row>
    <row r="12" spans="1:38" x14ac:dyDescent="0.35">
      <c r="A12" s="7" t="s">
        <v>0</v>
      </c>
      <c r="B12" s="2" t="s">
        <v>22</v>
      </c>
      <c r="C12" s="3">
        <v>2.2000000000000002</v>
      </c>
      <c r="D12" s="3">
        <v>123.27</v>
      </c>
      <c r="E12" s="3">
        <v>152.94</v>
      </c>
      <c r="F12" s="3">
        <v>164.03</v>
      </c>
      <c r="G12" s="3">
        <v>200.42</v>
      </c>
      <c r="H12" s="10">
        <f t="shared" si="5"/>
        <v>250.52499999999998</v>
      </c>
      <c r="I12" s="5">
        <v>5</v>
      </c>
      <c r="J12" s="4">
        <v>1</v>
      </c>
      <c r="K12" s="4">
        <v>3</v>
      </c>
      <c r="L12" s="4">
        <v>10</v>
      </c>
      <c r="M12" s="4">
        <v>10</v>
      </c>
      <c r="N12" s="6">
        <f t="shared" si="0"/>
        <v>10448.515044</v>
      </c>
      <c r="O12" s="6">
        <f t="shared" si="1"/>
        <v>10122.686244</v>
      </c>
      <c r="P12" s="6">
        <f t="shared" si="2"/>
        <v>10285.600644000002</v>
      </c>
      <c r="Q12" s="6">
        <f t="shared" si="3"/>
        <v>10855.801043999998</v>
      </c>
      <c r="R12" s="6">
        <f t="shared" si="4"/>
        <v>10855.801043999998</v>
      </c>
      <c r="S12" s="6">
        <f t="shared" si="6"/>
        <v>12865.350168000001</v>
      </c>
      <c r="T12" s="6">
        <f t="shared" si="7"/>
        <v>12539.521368000002</v>
      </c>
      <c r="U12" s="6">
        <f t="shared" si="8"/>
        <v>12702.435768000001</v>
      </c>
      <c r="V12" s="6">
        <f t="shared" si="9"/>
        <v>13272.636167999999</v>
      </c>
      <c r="W12" s="6">
        <f t="shared" si="10"/>
        <v>13272.636167999999</v>
      </c>
      <c r="X12" s="6">
        <f t="shared" si="11"/>
        <v>13768.710516000003</v>
      </c>
      <c r="Y12" s="6">
        <f t="shared" si="12"/>
        <v>13442.881716000002</v>
      </c>
      <c r="Z12" s="6">
        <f t="shared" si="13"/>
        <v>13605.796116</v>
      </c>
      <c r="AA12" s="6">
        <f t="shared" si="14"/>
        <v>14175.996516000003</v>
      </c>
      <c r="AB12" s="6">
        <f t="shared" si="15"/>
        <v>14175.996516000003</v>
      </c>
      <c r="AC12" s="6">
        <f t="shared" si="16"/>
        <v>16732.938023999999</v>
      </c>
      <c r="AD12" s="6">
        <f t="shared" si="17"/>
        <v>16407.109224000003</v>
      </c>
      <c r="AE12" s="6">
        <f t="shared" si="18"/>
        <v>16570.023624000001</v>
      </c>
      <c r="AF12" s="6">
        <f t="shared" si="19"/>
        <v>17140.224023999999</v>
      </c>
      <c r="AG12" s="6">
        <f t="shared" si="20"/>
        <v>17140.224023999999</v>
      </c>
      <c r="AH12" s="6">
        <f t="shared" si="21"/>
        <v>20814.351029999998</v>
      </c>
      <c r="AI12" s="6">
        <f t="shared" si="22"/>
        <v>20488.522230000002</v>
      </c>
      <c r="AJ12" s="6">
        <f t="shared" si="23"/>
        <v>20651.43663</v>
      </c>
      <c r="AK12" s="6">
        <f t="shared" si="24"/>
        <v>21221.637029999998</v>
      </c>
      <c r="AL12" s="6">
        <f t="shared" si="25"/>
        <v>21221.637029999998</v>
      </c>
    </row>
    <row r="13" spans="1:38" x14ac:dyDescent="0.35">
      <c r="A13" s="7" t="s">
        <v>0</v>
      </c>
      <c r="B13" s="2" t="s">
        <v>24</v>
      </c>
      <c r="C13" s="3">
        <v>3</v>
      </c>
      <c r="D13" s="3">
        <v>135.49</v>
      </c>
      <c r="E13" s="3">
        <v>163.28</v>
      </c>
      <c r="F13" s="3">
        <v>175.62</v>
      </c>
      <c r="G13" s="3">
        <v>230.34</v>
      </c>
      <c r="H13" s="10">
        <f t="shared" si="5"/>
        <v>287.92500000000001</v>
      </c>
      <c r="I13" s="5">
        <v>5</v>
      </c>
      <c r="J13" s="4">
        <v>1</v>
      </c>
      <c r="K13" s="4">
        <v>3</v>
      </c>
      <c r="L13" s="4">
        <v>10</v>
      </c>
      <c r="M13" s="4">
        <v>10</v>
      </c>
      <c r="N13" s="6">
        <f t="shared" si="0"/>
        <v>11443.922028000003</v>
      </c>
      <c r="O13" s="6">
        <f t="shared" si="1"/>
        <v>11118.093228000002</v>
      </c>
      <c r="P13" s="6">
        <f t="shared" si="2"/>
        <v>11281.007628000001</v>
      </c>
      <c r="Q13" s="6">
        <f t="shared" si="3"/>
        <v>11851.208028000001</v>
      </c>
      <c r="R13" s="6">
        <f t="shared" si="4"/>
        <v>11851.208028000001</v>
      </c>
      <c r="S13" s="6">
        <f t="shared" si="6"/>
        <v>13707.617616000003</v>
      </c>
      <c r="T13" s="6">
        <f t="shared" si="7"/>
        <v>13381.788816000002</v>
      </c>
      <c r="U13" s="6">
        <f t="shared" si="8"/>
        <v>13544.703216</v>
      </c>
      <c r="V13" s="6">
        <f t="shared" si="9"/>
        <v>14114.903616000001</v>
      </c>
      <c r="W13" s="6">
        <f t="shared" si="10"/>
        <v>14114.903616000001</v>
      </c>
      <c r="X13" s="6">
        <f t="shared" si="11"/>
        <v>14712.799464000003</v>
      </c>
      <c r="Y13" s="6">
        <f t="shared" si="12"/>
        <v>14386.970664000002</v>
      </c>
      <c r="Z13" s="6">
        <f t="shared" si="13"/>
        <v>14549.885064000002</v>
      </c>
      <c r="AA13" s="6">
        <f t="shared" si="14"/>
        <v>15120.085464000002</v>
      </c>
      <c r="AB13" s="6">
        <f t="shared" si="15"/>
        <v>15120.085464000002</v>
      </c>
      <c r="AC13" s="6">
        <f t="shared" si="16"/>
        <v>19170.137448000001</v>
      </c>
      <c r="AD13" s="6">
        <f t="shared" si="17"/>
        <v>18844.308648000002</v>
      </c>
      <c r="AE13" s="6">
        <f t="shared" si="18"/>
        <v>19007.223048</v>
      </c>
      <c r="AF13" s="6">
        <f t="shared" si="19"/>
        <v>19577.423448000001</v>
      </c>
      <c r="AG13" s="6">
        <f t="shared" si="20"/>
        <v>19577.423448000001</v>
      </c>
      <c r="AH13" s="6">
        <f t="shared" si="21"/>
        <v>23860.850310000002</v>
      </c>
      <c r="AI13" s="6">
        <f t="shared" si="22"/>
        <v>23535.021510000002</v>
      </c>
      <c r="AJ13" s="6">
        <f t="shared" si="23"/>
        <v>23697.935910000004</v>
      </c>
      <c r="AK13" s="6">
        <f t="shared" si="24"/>
        <v>24268.136310000002</v>
      </c>
      <c r="AL13" s="6">
        <f t="shared" si="25"/>
        <v>24268.136310000002</v>
      </c>
    </row>
    <row r="14" spans="1:38" x14ac:dyDescent="0.35">
      <c r="A14" s="7" t="s">
        <v>0</v>
      </c>
      <c r="B14" s="2" t="s">
        <v>26</v>
      </c>
      <c r="C14" s="3">
        <v>4</v>
      </c>
      <c r="D14" s="3">
        <v>159.79</v>
      </c>
      <c r="E14" s="3">
        <v>198.8</v>
      </c>
      <c r="F14" s="3">
        <v>211.39</v>
      </c>
      <c r="G14" s="3">
        <v>273.58999999999997</v>
      </c>
      <c r="H14" s="10">
        <f t="shared" si="5"/>
        <v>341.98749999999995</v>
      </c>
      <c r="I14" s="5">
        <v>5</v>
      </c>
      <c r="J14" s="4">
        <v>1</v>
      </c>
      <c r="K14" s="4">
        <v>3</v>
      </c>
      <c r="L14" s="4">
        <v>10</v>
      </c>
      <c r="M14" s="4">
        <v>10</v>
      </c>
      <c r="N14" s="6">
        <f t="shared" si="0"/>
        <v>13423.331988000002</v>
      </c>
      <c r="O14" s="6">
        <f t="shared" si="1"/>
        <v>13097.503188000002</v>
      </c>
      <c r="P14" s="6">
        <f t="shared" si="2"/>
        <v>13260.417588</v>
      </c>
      <c r="Q14" s="6">
        <f t="shared" si="3"/>
        <v>13830.617988000002</v>
      </c>
      <c r="R14" s="6">
        <f t="shared" si="4"/>
        <v>13830.617988000002</v>
      </c>
      <c r="S14" s="6">
        <f t="shared" si="6"/>
        <v>16600.977360000004</v>
      </c>
      <c r="T14" s="6">
        <f t="shared" si="7"/>
        <v>16275.148560000005</v>
      </c>
      <c r="U14" s="6">
        <f t="shared" si="8"/>
        <v>16438.062960000003</v>
      </c>
      <c r="V14" s="6">
        <f t="shared" si="9"/>
        <v>17008.263360000004</v>
      </c>
      <c r="W14" s="6">
        <f t="shared" si="10"/>
        <v>17008.263360000004</v>
      </c>
      <c r="X14" s="6">
        <f t="shared" si="11"/>
        <v>17626.523508000002</v>
      </c>
      <c r="Y14" s="6">
        <f t="shared" si="12"/>
        <v>17300.694707999999</v>
      </c>
      <c r="Z14" s="6">
        <f t="shared" si="13"/>
        <v>17463.609108000001</v>
      </c>
      <c r="AA14" s="6">
        <f t="shared" si="14"/>
        <v>18033.809508000002</v>
      </c>
      <c r="AB14" s="6">
        <f t="shared" si="15"/>
        <v>18033.809508000002</v>
      </c>
      <c r="AC14" s="6">
        <f t="shared" si="16"/>
        <v>22693.161348000001</v>
      </c>
      <c r="AD14" s="6">
        <f t="shared" si="17"/>
        <v>22367.332548000002</v>
      </c>
      <c r="AE14" s="6">
        <f t="shared" si="18"/>
        <v>22530.246948000004</v>
      </c>
      <c r="AF14" s="6">
        <f t="shared" si="19"/>
        <v>23100.447348000005</v>
      </c>
      <c r="AG14" s="6">
        <f t="shared" si="20"/>
        <v>23100.447348000005</v>
      </c>
      <c r="AH14" s="6">
        <f t="shared" si="21"/>
        <v>28264.630184999991</v>
      </c>
      <c r="AI14" s="6">
        <f t="shared" si="22"/>
        <v>27938.801384999995</v>
      </c>
      <c r="AJ14" s="6">
        <f t="shared" si="23"/>
        <v>28101.715785</v>
      </c>
      <c r="AK14" s="6">
        <f t="shared" si="24"/>
        <v>28671.916184999995</v>
      </c>
      <c r="AL14" s="6">
        <f t="shared" si="25"/>
        <v>28671.916184999995</v>
      </c>
    </row>
    <row r="15" spans="1:38" x14ac:dyDescent="0.35">
      <c r="A15" s="7" t="s">
        <v>0</v>
      </c>
      <c r="B15" s="2" t="s">
        <v>28</v>
      </c>
      <c r="C15" s="3">
        <v>5.5</v>
      </c>
      <c r="D15" s="3">
        <v>224.48</v>
      </c>
      <c r="E15" s="3">
        <v>276.7</v>
      </c>
      <c r="F15" s="3">
        <v>302.13</v>
      </c>
      <c r="G15" s="3">
        <v>377.41</v>
      </c>
      <c r="H15" s="10">
        <f t="shared" si="5"/>
        <v>471.76250000000005</v>
      </c>
      <c r="I15" s="5">
        <v>5</v>
      </c>
      <c r="J15" s="4">
        <v>1</v>
      </c>
      <c r="K15" s="4">
        <v>3</v>
      </c>
      <c r="L15" s="4">
        <v>10</v>
      </c>
      <c r="M15" s="4">
        <v>10</v>
      </c>
      <c r="N15" s="6">
        <f t="shared" si="0"/>
        <v>18692.798255999998</v>
      </c>
      <c r="O15" s="6">
        <f t="shared" si="1"/>
        <v>18366.969455999999</v>
      </c>
      <c r="P15" s="6">
        <f t="shared" si="2"/>
        <v>18529.883856</v>
      </c>
      <c r="Q15" s="6">
        <f t="shared" si="3"/>
        <v>19100.084256000002</v>
      </c>
      <c r="R15" s="6">
        <f t="shared" si="4"/>
        <v>19100.084256000002</v>
      </c>
      <c r="S15" s="6">
        <f t="shared" si="6"/>
        <v>22946.493240000003</v>
      </c>
      <c r="T15" s="6">
        <f t="shared" si="7"/>
        <v>22620.664440000004</v>
      </c>
      <c r="U15" s="6">
        <f t="shared" si="8"/>
        <v>22783.578840000002</v>
      </c>
      <c r="V15" s="6">
        <f t="shared" si="9"/>
        <v>23353.779240000003</v>
      </c>
      <c r="W15" s="6">
        <f t="shared" si="10"/>
        <v>23353.779240000003</v>
      </c>
      <c r="X15" s="6">
        <f t="shared" si="11"/>
        <v>25017.949835999996</v>
      </c>
      <c r="Y15" s="6">
        <f t="shared" si="12"/>
        <v>24692.121036</v>
      </c>
      <c r="Z15" s="6">
        <f t="shared" si="13"/>
        <v>24855.035435999998</v>
      </c>
      <c r="AA15" s="6">
        <f t="shared" si="14"/>
        <v>25425.235836</v>
      </c>
      <c r="AB15" s="6">
        <f t="shared" si="15"/>
        <v>25425.235836</v>
      </c>
      <c r="AC15" s="6">
        <f t="shared" si="16"/>
        <v>31150.047852000007</v>
      </c>
      <c r="AD15" s="6">
        <f t="shared" si="17"/>
        <v>30824.219052</v>
      </c>
      <c r="AE15" s="6">
        <f t="shared" si="18"/>
        <v>30987.133452000009</v>
      </c>
      <c r="AF15" s="6">
        <f t="shared" si="19"/>
        <v>31557.333852000003</v>
      </c>
      <c r="AG15" s="6">
        <f t="shared" si="20"/>
        <v>31557.333852000003</v>
      </c>
      <c r="AH15" s="6">
        <f t="shared" si="21"/>
        <v>38835.73831500001</v>
      </c>
      <c r="AI15" s="6">
        <f t="shared" si="22"/>
        <v>38509.909515000014</v>
      </c>
      <c r="AJ15" s="6">
        <f t="shared" si="23"/>
        <v>38672.823915000008</v>
      </c>
      <c r="AK15" s="6">
        <f t="shared" si="24"/>
        <v>39243.02431500001</v>
      </c>
      <c r="AL15" s="6">
        <f t="shared" si="25"/>
        <v>39243.02431500001</v>
      </c>
    </row>
    <row r="16" spans="1:38" x14ac:dyDescent="0.35">
      <c r="A16" s="7" t="s">
        <v>0</v>
      </c>
      <c r="B16" s="2" t="s">
        <v>30</v>
      </c>
      <c r="C16" s="3">
        <v>7.5</v>
      </c>
      <c r="D16" s="3">
        <v>256.01</v>
      </c>
      <c r="E16" s="3">
        <v>306.12</v>
      </c>
      <c r="F16" s="3">
        <v>332.79</v>
      </c>
      <c r="G16" s="3">
        <v>421.79</v>
      </c>
      <c r="H16" s="10">
        <f t="shared" si="5"/>
        <v>527.23750000000007</v>
      </c>
      <c r="I16" s="5">
        <v>5</v>
      </c>
      <c r="J16" s="4">
        <v>1</v>
      </c>
      <c r="K16" s="4">
        <v>3</v>
      </c>
      <c r="L16" s="4">
        <v>10</v>
      </c>
      <c r="M16" s="4">
        <v>10</v>
      </c>
      <c r="N16" s="6">
        <f t="shared" si="0"/>
        <v>21261.143772000003</v>
      </c>
      <c r="O16" s="6">
        <f t="shared" si="1"/>
        <v>20935.314972</v>
      </c>
      <c r="P16" s="6">
        <f t="shared" si="2"/>
        <v>21098.229372000002</v>
      </c>
      <c r="Q16" s="6">
        <f t="shared" si="3"/>
        <v>21668.429772000003</v>
      </c>
      <c r="R16" s="6">
        <f t="shared" si="4"/>
        <v>21668.429772000003</v>
      </c>
      <c r="S16" s="6">
        <f t="shared" si="6"/>
        <v>25342.964064000007</v>
      </c>
      <c r="T16" s="6">
        <f t="shared" si="7"/>
        <v>25017.135264000004</v>
      </c>
      <c r="U16" s="6">
        <f t="shared" si="8"/>
        <v>25180.049664000006</v>
      </c>
      <c r="V16" s="6">
        <f t="shared" si="9"/>
        <v>25750.250064000007</v>
      </c>
      <c r="W16" s="6">
        <f t="shared" si="10"/>
        <v>25750.250064000007</v>
      </c>
      <c r="X16" s="6">
        <f t="shared" si="11"/>
        <v>27515.427588000006</v>
      </c>
      <c r="Y16" s="6">
        <f t="shared" si="12"/>
        <v>27189.598788000007</v>
      </c>
      <c r="Z16" s="6">
        <f t="shared" si="13"/>
        <v>27352.513188000008</v>
      </c>
      <c r="AA16" s="6">
        <f t="shared" si="14"/>
        <v>27922.713588000002</v>
      </c>
      <c r="AB16" s="6">
        <f t="shared" si="15"/>
        <v>27922.713588000002</v>
      </c>
      <c r="AC16" s="6">
        <f t="shared" si="16"/>
        <v>34765.11838800001</v>
      </c>
      <c r="AD16" s="6">
        <f t="shared" si="17"/>
        <v>34439.289588000014</v>
      </c>
      <c r="AE16" s="6">
        <f t="shared" si="18"/>
        <v>34602.203988000008</v>
      </c>
      <c r="AF16" s="6">
        <f t="shared" si="19"/>
        <v>35172.404388000003</v>
      </c>
      <c r="AG16" s="6">
        <f t="shared" si="20"/>
        <v>35172.404388000003</v>
      </c>
      <c r="AH16" s="6">
        <f t="shared" si="21"/>
        <v>43354.576485000005</v>
      </c>
      <c r="AI16" s="6">
        <f t="shared" si="22"/>
        <v>43028.747685000002</v>
      </c>
      <c r="AJ16" s="6">
        <f t="shared" si="23"/>
        <v>43191.662085000004</v>
      </c>
      <c r="AK16" s="6">
        <f t="shared" si="24"/>
        <v>43761.862485000005</v>
      </c>
      <c r="AL16" s="6">
        <f t="shared" si="25"/>
        <v>43761.862485000005</v>
      </c>
    </row>
    <row r="17" spans="1:38" x14ac:dyDescent="0.35">
      <c r="A17" s="7" t="s">
        <v>0</v>
      </c>
      <c r="B17" s="2" t="s">
        <v>32</v>
      </c>
      <c r="C17" s="3">
        <v>11</v>
      </c>
      <c r="D17" s="3">
        <v>367.82</v>
      </c>
      <c r="E17" s="3">
        <v>443.1</v>
      </c>
      <c r="F17" s="3">
        <v>478</v>
      </c>
      <c r="G17" s="3">
        <v>622.46</v>
      </c>
      <c r="H17" s="10">
        <f t="shared" si="5"/>
        <v>778.07500000000005</v>
      </c>
      <c r="I17" s="5">
        <v>5</v>
      </c>
      <c r="J17" s="4">
        <v>1</v>
      </c>
      <c r="K17" s="4">
        <v>3</v>
      </c>
      <c r="L17" s="4">
        <v>10</v>
      </c>
      <c r="M17" s="4">
        <v>10</v>
      </c>
      <c r="N17" s="6">
        <f t="shared" si="0"/>
        <v>30368.873304000004</v>
      </c>
      <c r="O17" s="6">
        <f t="shared" si="1"/>
        <v>30043.044504000001</v>
      </c>
      <c r="P17" s="6">
        <f t="shared" si="2"/>
        <v>30205.958903999999</v>
      </c>
      <c r="Q17" s="6">
        <f t="shared" si="3"/>
        <v>30776.159304000001</v>
      </c>
      <c r="R17" s="6">
        <f t="shared" si="4"/>
        <v>30776.159304000001</v>
      </c>
      <c r="S17" s="6">
        <f t="shared" si="6"/>
        <v>36500.971320000004</v>
      </c>
      <c r="T17" s="6">
        <f t="shared" si="7"/>
        <v>36175.142520000009</v>
      </c>
      <c r="U17" s="6">
        <f t="shared" si="8"/>
        <v>36338.056920000003</v>
      </c>
      <c r="V17" s="6">
        <f t="shared" si="9"/>
        <v>36908.257320000004</v>
      </c>
      <c r="W17" s="6">
        <f t="shared" si="10"/>
        <v>36908.257320000004</v>
      </c>
      <c r="X17" s="6">
        <f t="shared" si="11"/>
        <v>39343.827599999997</v>
      </c>
      <c r="Y17" s="6">
        <f t="shared" si="12"/>
        <v>39017.998800000001</v>
      </c>
      <c r="Z17" s="6">
        <f t="shared" si="13"/>
        <v>39180.91320000001</v>
      </c>
      <c r="AA17" s="6">
        <f t="shared" si="14"/>
        <v>39751.113600000012</v>
      </c>
      <c r="AB17" s="6">
        <f t="shared" si="15"/>
        <v>39751.113600000012</v>
      </c>
      <c r="AC17" s="6">
        <f t="shared" si="16"/>
        <v>51111.134712000006</v>
      </c>
      <c r="AD17" s="6">
        <f t="shared" si="17"/>
        <v>50785.305912000003</v>
      </c>
      <c r="AE17" s="6">
        <f t="shared" si="18"/>
        <v>50948.220312000012</v>
      </c>
      <c r="AF17" s="6">
        <f t="shared" si="19"/>
        <v>51518.420712000006</v>
      </c>
      <c r="AG17" s="6">
        <f t="shared" si="20"/>
        <v>51518.420712000006</v>
      </c>
      <c r="AH17" s="6">
        <f t="shared" si="21"/>
        <v>63787.096890000008</v>
      </c>
      <c r="AI17" s="6">
        <f t="shared" si="22"/>
        <v>63461.26809000002</v>
      </c>
      <c r="AJ17" s="6">
        <f t="shared" si="23"/>
        <v>63624.182490000021</v>
      </c>
      <c r="AK17" s="6">
        <f t="shared" si="24"/>
        <v>64194.382890000015</v>
      </c>
      <c r="AL17" s="6">
        <f t="shared" si="25"/>
        <v>64194.382890000015</v>
      </c>
    </row>
    <row r="18" spans="1:38" x14ac:dyDescent="0.35">
      <c r="A18" s="7" t="s">
        <v>0</v>
      </c>
      <c r="B18" s="2" t="s">
        <v>34</v>
      </c>
      <c r="C18" s="3">
        <v>15</v>
      </c>
      <c r="D18" s="3">
        <v>425.53</v>
      </c>
      <c r="E18" s="3">
        <v>501.06</v>
      </c>
      <c r="F18" s="3">
        <v>552.79</v>
      </c>
      <c r="G18" s="3">
        <v>719.56</v>
      </c>
      <c r="H18" s="10">
        <f t="shared" si="5"/>
        <v>899.44999999999993</v>
      </c>
      <c r="I18" s="5">
        <v>5</v>
      </c>
      <c r="J18" s="4">
        <v>1</v>
      </c>
      <c r="K18" s="4">
        <v>3</v>
      </c>
      <c r="L18" s="4">
        <v>10</v>
      </c>
      <c r="M18" s="4">
        <v>10</v>
      </c>
      <c r="N18" s="6">
        <f t="shared" si="0"/>
        <v>35069.768316000002</v>
      </c>
      <c r="O18" s="6">
        <f t="shared" si="1"/>
        <v>34743.939515999999</v>
      </c>
      <c r="P18" s="6">
        <f t="shared" si="2"/>
        <v>34906.853916</v>
      </c>
      <c r="Q18" s="6">
        <f t="shared" si="3"/>
        <v>35477.054316000002</v>
      </c>
      <c r="R18" s="6">
        <f t="shared" si="4"/>
        <v>35477.054316000002</v>
      </c>
      <c r="S18" s="6">
        <f t="shared" si="6"/>
        <v>41222.230632000006</v>
      </c>
      <c r="T18" s="6">
        <f t="shared" si="7"/>
        <v>40896.40183200001</v>
      </c>
      <c r="U18" s="6">
        <f t="shared" si="8"/>
        <v>41059.316232000005</v>
      </c>
      <c r="V18" s="6">
        <f t="shared" si="9"/>
        <v>41629.516632000006</v>
      </c>
      <c r="W18" s="6">
        <f t="shared" si="10"/>
        <v>41629.516632000006</v>
      </c>
      <c r="X18" s="6">
        <f t="shared" si="11"/>
        <v>45436.011588000008</v>
      </c>
      <c r="Y18" s="6">
        <f t="shared" si="12"/>
        <v>45110.182788000006</v>
      </c>
      <c r="Z18" s="6">
        <f t="shared" si="13"/>
        <v>45273.097188</v>
      </c>
      <c r="AA18" s="6">
        <f t="shared" si="14"/>
        <v>45843.297588000009</v>
      </c>
      <c r="AB18" s="6">
        <f t="shared" si="15"/>
        <v>45843.297588000009</v>
      </c>
      <c r="AC18" s="6">
        <f t="shared" si="16"/>
        <v>59020.628832000009</v>
      </c>
      <c r="AD18" s="6">
        <f t="shared" si="17"/>
        <v>58694.800032000006</v>
      </c>
      <c r="AE18" s="6">
        <f t="shared" si="18"/>
        <v>58857.714431999993</v>
      </c>
      <c r="AF18" s="6">
        <f t="shared" si="19"/>
        <v>59427.914832000002</v>
      </c>
      <c r="AG18" s="6">
        <f t="shared" si="20"/>
        <v>59427.914832000002</v>
      </c>
      <c r="AH18" s="6">
        <f t="shared" si="21"/>
        <v>73673.964540000015</v>
      </c>
      <c r="AI18" s="6">
        <f t="shared" si="22"/>
        <v>73348.135739999998</v>
      </c>
      <c r="AJ18" s="6">
        <f t="shared" si="23"/>
        <v>73511.050140000007</v>
      </c>
      <c r="AK18" s="6">
        <f t="shared" si="24"/>
        <v>74081.250539999994</v>
      </c>
      <c r="AL18" s="6">
        <f t="shared" si="25"/>
        <v>74081.250539999994</v>
      </c>
    </row>
    <row r="19" spans="1:38" x14ac:dyDescent="0.35">
      <c r="A19" s="7" t="s">
        <v>0</v>
      </c>
      <c r="B19" s="2" t="s">
        <v>36</v>
      </c>
      <c r="C19" s="3">
        <v>18.5</v>
      </c>
      <c r="D19" s="3">
        <v>532.1</v>
      </c>
      <c r="E19" s="3">
        <v>622.46</v>
      </c>
      <c r="F19" s="3">
        <v>675.31</v>
      </c>
      <c r="G19" s="3">
        <v>913.87</v>
      </c>
      <c r="H19" s="10">
        <f t="shared" si="5"/>
        <v>1142.3375000000001</v>
      </c>
      <c r="I19" s="5">
        <v>5</v>
      </c>
      <c r="J19" s="4">
        <v>1</v>
      </c>
      <c r="K19" s="4">
        <v>3</v>
      </c>
      <c r="L19" s="4">
        <v>10</v>
      </c>
      <c r="M19" s="4">
        <v>10</v>
      </c>
      <c r="N19" s="6">
        <f t="shared" si="0"/>
        <v>43750.662120000001</v>
      </c>
      <c r="O19" s="6">
        <f t="shared" si="1"/>
        <v>43424.833320000012</v>
      </c>
      <c r="P19" s="6">
        <f t="shared" si="2"/>
        <v>43587.747720000007</v>
      </c>
      <c r="Q19" s="6">
        <f t="shared" si="3"/>
        <v>44157.948120000001</v>
      </c>
      <c r="R19" s="6">
        <f t="shared" si="4"/>
        <v>44157.948120000001</v>
      </c>
      <c r="S19" s="6">
        <f t="shared" si="6"/>
        <v>51111.134712000006</v>
      </c>
      <c r="T19" s="6">
        <f t="shared" si="7"/>
        <v>50785.305912000003</v>
      </c>
      <c r="U19" s="6">
        <f t="shared" si="8"/>
        <v>50948.220312000012</v>
      </c>
      <c r="V19" s="6">
        <f t="shared" si="9"/>
        <v>51518.420712000006</v>
      </c>
      <c r="W19" s="6">
        <f t="shared" si="10"/>
        <v>51518.420712000006</v>
      </c>
      <c r="X19" s="6">
        <f t="shared" si="11"/>
        <v>55416.147731999998</v>
      </c>
      <c r="Y19" s="6">
        <f t="shared" si="12"/>
        <v>55090.318932000002</v>
      </c>
      <c r="Z19" s="6">
        <f t="shared" si="13"/>
        <v>55253.233332000003</v>
      </c>
      <c r="AA19" s="6">
        <f t="shared" si="14"/>
        <v>55823.433731999998</v>
      </c>
      <c r="AB19" s="6">
        <f t="shared" si="15"/>
        <v>55823.433731999998</v>
      </c>
      <c r="AC19" s="6">
        <f t="shared" si="16"/>
        <v>74848.577364000012</v>
      </c>
      <c r="AD19" s="6">
        <f t="shared" si="17"/>
        <v>74522.748564000009</v>
      </c>
      <c r="AE19" s="6">
        <f t="shared" si="18"/>
        <v>74685.662964000003</v>
      </c>
      <c r="AF19" s="6">
        <f t="shared" si="19"/>
        <v>75255.863364000004</v>
      </c>
      <c r="AG19" s="6">
        <f t="shared" si="20"/>
        <v>75255.863364000004</v>
      </c>
      <c r="AH19" s="6">
        <f t="shared" si="21"/>
        <v>93458.900205000013</v>
      </c>
      <c r="AI19" s="6">
        <f t="shared" si="22"/>
        <v>93133.071405000024</v>
      </c>
      <c r="AJ19" s="6">
        <f t="shared" si="23"/>
        <v>93295.985805000018</v>
      </c>
      <c r="AK19" s="6">
        <f t="shared" si="24"/>
        <v>93866.186205000005</v>
      </c>
      <c r="AL19" s="6">
        <f t="shared" si="25"/>
        <v>93866.186205000005</v>
      </c>
    </row>
    <row r="20" spans="1:38" x14ac:dyDescent="0.35">
      <c r="A20" s="7" t="s">
        <v>0</v>
      </c>
      <c r="B20" s="2" t="s">
        <v>38</v>
      </c>
      <c r="C20" s="3">
        <v>22</v>
      </c>
      <c r="D20" s="3">
        <v>592.16999999999996</v>
      </c>
      <c r="E20" s="3">
        <v>653.75</v>
      </c>
      <c r="F20" s="3">
        <v>745.61</v>
      </c>
      <c r="G20" s="3">
        <v>954.63</v>
      </c>
      <c r="H20" s="10">
        <f t="shared" si="5"/>
        <v>1193.2874999999999</v>
      </c>
      <c r="I20" s="5">
        <v>5</v>
      </c>
      <c r="J20" s="4">
        <v>1</v>
      </c>
      <c r="K20" s="4">
        <v>3</v>
      </c>
      <c r="L20" s="4">
        <v>10</v>
      </c>
      <c r="M20" s="4">
        <v>10</v>
      </c>
      <c r="N20" s="6">
        <f t="shared" si="0"/>
        <v>48643.796124</v>
      </c>
      <c r="O20" s="6">
        <f t="shared" si="1"/>
        <v>48317.967324000005</v>
      </c>
      <c r="P20" s="6">
        <f t="shared" si="2"/>
        <v>48480.881723999999</v>
      </c>
      <c r="Q20" s="6">
        <f t="shared" si="3"/>
        <v>49051.082123999993</v>
      </c>
      <c r="R20" s="6">
        <f t="shared" si="4"/>
        <v>49051.082123999993</v>
      </c>
      <c r="S20" s="6">
        <f t="shared" si="6"/>
        <v>53659.930500000009</v>
      </c>
      <c r="T20" s="6">
        <f t="shared" si="7"/>
        <v>53334.101700000014</v>
      </c>
      <c r="U20" s="6">
        <f t="shared" si="8"/>
        <v>53497.016100000008</v>
      </c>
      <c r="V20" s="6">
        <f t="shared" si="9"/>
        <v>54067.21650000001</v>
      </c>
      <c r="W20" s="6">
        <f t="shared" si="10"/>
        <v>54067.21650000001</v>
      </c>
      <c r="X20" s="6">
        <f t="shared" si="11"/>
        <v>61142.588892000007</v>
      </c>
      <c r="Y20" s="6">
        <f t="shared" si="12"/>
        <v>60816.760091999997</v>
      </c>
      <c r="Z20" s="6">
        <f t="shared" si="13"/>
        <v>60979.674492000013</v>
      </c>
      <c r="AA20" s="6">
        <f t="shared" si="14"/>
        <v>61549.874892000007</v>
      </c>
      <c r="AB20" s="6">
        <f t="shared" si="15"/>
        <v>61549.874892000007</v>
      </c>
      <c r="AC20" s="6">
        <f t="shared" si="16"/>
        <v>78168.772836000004</v>
      </c>
      <c r="AD20" s="6">
        <f t="shared" si="17"/>
        <v>77842.944036000015</v>
      </c>
      <c r="AE20" s="6">
        <f t="shared" si="18"/>
        <v>78005.85843600001</v>
      </c>
      <c r="AF20" s="6">
        <f t="shared" si="19"/>
        <v>78576.058836000011</v>
      </c>
      <c r="AG20" s="6">
        <f t="shared" si="20"/>
        <v>78576.058836000011</v>
      </c>
      <c r="AH20" s="6">
        <f t="shared" si="21"/>
        <v>97609.144545000017</v>
      </c>
      <c r="AI20" s="6">
        <f t="shared" si="22"/>
        <v>97283.315744999985</v>
      </c>
      <c r="AJ20" s="6">
        <f t="shared" si="23"/>
        <v>97446.230145000009</v>
      </c>
      <c r="AK20" s="6">
        <f t="shared" si="24"/>
        <v>98016.430544999996</v>
      </c>
      <c r="AL20" s="6">
        <f t="shared" si="25"/>
        <v>98016.430544999996</v>
      </c>
    </row>
    <row r="21" spans="1:38" x14ac:dyDescent="0.35">
      <c r="A21" s="7" t="s">
        <v>0</v>
      </c>
      <c r="B21" s="2" t="s">
        <v>40</v>
      </c>
      <c r="C21" s="3">
        <v>30</v>
      </c>
      <c r="D21" s="3">
        <v>794.47</v>
      </c>
      <c r="E21" s="3">
        <v>874.24</v>
      </c>
      <c r="F21" s="3">
        <v>1023.31</v>
      </c>
      <c r="G21" s="3">
        <v>1258.1300000000001</v>
      </c>
      <c r="H21" s="10">
        <f t="shared" si="5"/>
        <v>1572.6625000000001</v>
      </c>
      <c r="I21" s="5">
        <v>5</v>
      </c>
      <c r="J21" s="4">
        <v>1</v>
      </c>
      <c r="K21" s="4">
        <v>3</v>
      </c>
      <c r="L21" s="4">
        <v>10</v>
      </c>
      <c r="M21" s="4">
        <v>10</v>
      </c>
      <c r="N21" s="6">
        <f t="shared" si="0"/>
        <v>65122.587684000006</v>
      </c>
      <c r="O21" s="6">
        <f t="shared" si="1"/>
        <v>64796.75888400001</v>
      </c>
      <c r="P21" s="6">
        <f t="shared" si="2"/>
        <v>64959.673284000004</v>
      </c>
      <c r="Q21" s="6">
        <f t="shared" si="3"/>
        <v>65529.87368400002</v>
      </c>
      <c r="R21" s="6">
        <f t="shared" si="4"/>
        <v>65529.87368400002</v>
      </c>
      <c r="S21" s="6">
        <f t="shared" si="6"/>
        <v>71620.428528000004</v>
      </c>
      <c r="T21" s="6">
        <f t="shared" si="7"/>
        <v>71294.599728000001</v>
      </c>
      <c r="U21" s="6">
        <f t="shared" si="8"/>
        <v>71457.51412800001</v>
      </c>
      <c r="V21" s="6">
        <f t="shared" si="9"/>
        <v>72027.714528000011</v>
      </c>
      <c r="W21" s="6">
        <f t="shared" si="10"/>
        <v>72027.714528000011</v>
      </c>
      <c r="X21" s="6">
        <f t="shared" si="11"/>
        <v>83763.253331999993</v>
      </c>
      <c r="Y21" s="6">
        <f t="shared" si="12"/>
        <v>83437.424532000005</v>
      </c>
      <c r="Z21" s="6">
        <f t="shared" si="13"/>
        <v>83600.338932000013</v>
      </c>
      <c r="AA21" s="6">
        <f t="shared" si="14"/>
        <v>84170.539332</v>
      </c>
      <c r="AB21" s="6">
        <f t="shared" si="15"/>
        <v>84170.539332</v>
      </c>
      <c r="AC21" s="6">
        <f t="shared" si="16"/>
        <v>102891.03303600001</v>
      </c>
      <c r="AD21" s="6">
        <f t="shared" si="17"/>
        <v>102565.20423600001</v>
      </c>
      <c r="AE21" s="6">
        <f t="shared" si="18"/>
        <v>102728.11863600001</v>
      </c>
      <c r="AF21" s="6">
        <f t="shared" si="19"/>
        <v>103298.31903600002</v>
      </c>
      <c r="AG21" s="6">
        <f t="shared" si="20"/>
        <v>103298.31903600002</v>
      </c>
      <c r="AH21" s="6">
        <f t="shared" si="21"/>
        <v>128511.96979500003</v>
      </c>
      <c r="AI21" s="6">
        <f t="shared" si="22"/>
        <v>128186.14099500001</v>
      </c>
      <c r="AJ21" s="6">
        <f t="shared" si="23"/>
        <v>128349.055395</v>
      </c>
      <c r="AK21" s="6">
        <f t="shared" si="24"/>
        <v>128919.255795</v>
      </c>
      <c r="AL21" s="6">
        <f t="shared" si="25"/>
        <v>128919.255795</v>
      </c>
    </row>
    <row r="22" spans="1:38" x14ac:dyDescent="0.35">
      <c r="A22" s="7" t="s">
        <v>0</v>
      </c>
      <c r="B22" s="2" t="s">
        <v>42</v>
      </c>
      <c r="C22" s="3">
        <v>37</v>
      </c>
      <c r="D22" s="3">
        <v>952.89</v>
      </c>
      <c r="E22" s="3">
        <v>1066.68</v>
      </c>
      <c r="F22" s="3">
        <v>1223.3599999999999</v>
      </c>
      <c r="G22" s="3">
        <v>1550.92</v>
      </c>
      <c r="H22" s="10">
        <f t="shared" si="5"/>
        <v>1938.65</v>
      </c>
      <c r="I22" s="5">
        <v>5</v>
      </c>
      <c r="J22" s="4">
        <v>1</v>
      </c>
      <c r="K22" s="4">
        <v>3</v>
      </c>
      <c r="L22" s="4">
        <v>10</v>
      </c>
      <c r="M22" s="4">
        <v>10</v>
      </c>
      <c r="N22" s="6">
        <f t="shared" si="0"/>
        <v>78027.037308000014</v>
      </c>
      <c r="O22" s="6">
        <f t="shared" si="1"/>
        <v>77701.208507999996</v>
      </c>
      <c r="P22" s="6">
        <f t="shared" si="2"/>
        <v>77864.12290799999</v>
      </c>
      <c r="Q22" s="6">
        <f t="shared" si="3"/>
        <v>78434.323308000006</v>
      </c>
      <c r="R22" s="6">
        <f t="shared" si="4"/>
        <v>78434.323308000006</v>
      </c>
      <c r="S22" s="6">
        <f t="shared" si="6"/>
        <v>87296.052096000014</v>
      </c>
      <c r="T22" s="6">
        <f t="shared" si="7"/>
        <v>86970.223296000011</v>
      </c>
      <c r="U22" s="6">
        <f t="shared" si="8"/>
        <v>87133.137696000005</v>
      </c>
      <c r="V22" s="6">
        <f t="shared" si="9"/>
        <v>87703.338096000007</v>
      </c>
      <c r="W22" s="6">
        <f t="shared" si="10"/>
        <v>87703.338096000007</v>
      </c>
      <c r="X22" s="6">
        <f t="shared" si="11"/>
        <v>100058.76619200001</v>
      </c>
      <c r="Y22" s="6">
        <f t="shared" si="12"/>
        <v>99732.937392000022</v>
      </c>
      <c r="Z22" s="6">
        <f t="shared" si="13"/>
        <v>99895.851792000016</v>
      </c>
      <c r="AA22" s="6">
        <f t="shared" si="14"/>
        <v>100466.052192</v>
      </c>
      <c r="AB22" s="6">
        <f t="shared" si="15"/>
        <v>100466.052192</v>
      </c>
      <c r="AC22" s="6">
        <f t="shared" si="16"/>
        <v>126740.88662400002</v>
      </c>
      <c r="AD22" s="6">
        <f t="shared" si="17"/>
        <v>126415.057824</v>
      </c>
      <c r="AE22" s="6">
        <f t="shared" si="18"/>
        <v>126577.972224</v>
      </c>
      <c r="AF22" s="6">
        <f t="shared" si="19"/>
        <v>127148.17262400004</v>
      </c>
      <c r="AG22" s="6">
        <f t="shared" si="20"/>
        <v>127148.17262400004</v>
      </c>
      <c r="AH22" s="6">
        <f t="shared" si="21"/>
        <v>158324.28678000002</v>
      </c>
      <c r="AI22" s="6">
        <f t="shared" si="22"/>
        <v>157998.45798000004</v>
      </c>
      <c r="AJ22" s="6">
        <f t="shared" si="23"/>
        <v>158161.37238000002</v>
      </c>
      <c r="AK22" s="6">
        <f t="shared" si="24"/>
        <v>158731.57278000002</v>
      </c>
      <c r="AL22" s="6">
        <f t="shared" si="25"/>
        <v>158731.57278000002</v>
      </c>
    </row>
    <row r="23" spans="1:38" x14ac:dyDescent="0.35">
      <c r="A23" s="7" t="s">
        <v>0</v>
      </c>
      <c r="B23" s="2" t="s">
        <v>44</v>
      </c>
      <c r="C23" s="3">
        <v>45</v>
      </c>
      <c r="D23" s="3">
        <v>1036.27</v>
      </c>
      <c r="E23" s="3">
        <v>1193.82</v>
      </c>
      <c r="F23" s="3">
        <v>1453.57</v>
      </c>
      <c r="G23" s="3">
        <v>1734.14</v>
      </c>
      <c r="H23" s="10">
        <f t="shared" si="5"/>
        <v>2167.6750000000002</v>
      </c>
      <c r="I23" s="5">
        <v>5</v>
      </c>
      <c r="J23" s="4">
        <v>1</v>
      </c>
      <c r="K23" s="4">
        <v>3</v>
      </c>
      <c r="L23" s="4">
        <v>10</v>
      </c>
      <c r="M23" s="4">
        <v>10</v>
      </c>
      <c r="N23" s="6">
        <f t="shared" si="0"/>
        <v>84818.938643999994</v>
      </c>
      <c r="O23" s="6">
        <f t="shared" si="1"/>
        <v>84493.109843999991</v>
      </c>
      <c r="P23" s="6">
        <f t="shared" si="2"/>
        <v>84656.024244</v>
      </c>
      <c r="Q23" s="6">
        <f t="shared" si="3"/>
        <v>85226.224644000016</v>
      </c>
      <c r="R23" s="6">
        <f t="shared" si="4"/>
        <v>85226.224644000016</v>
      </c>
      <c r="S23" s="6">
        <f t="shared" si="6"/>
        <v>97652.520504</v>
      </c>
      <c r="T23" s="6">
        <f t="shared" si="7"/>
        <v>97326.691704000012</v>
      </c>
      <c r="U23" s="6">
        <f t="shared" si="8"/>
        <v>97489.606104000006</v>
      </c>
      <c r="V23" s="6">
        <f t="shared" si="9"/>
        <v>98059.806503999993</v>
      </c>
      <c r="W23" s="6">
        <f t="shared" si="10"/>
        <v>98059.806503999993</v>
      </c>
      <c r="X23" s="6">
        <f t="shared" si="11"/>
        <v>118811.02820400002</v>
      </c>
      <c r="Y23" s="6">
        <f t="shared" si="12"/>
        <v>118485.199404</v>
      </c>
      <c r="Z23" s="6">
        <f t="shared" si="13"/>
        <v>118648.11380400002</v>
      </c>
      <c r="AA23" s="6">
        <f t="shared" si="14"/>
        <v>119218.31420400001</v>
      </c>
      <c r="AB23" s="6">
        <f t="shared" si="15"/>
        <v>119218.31420400001</v>
      </c>
      <c r="AC23" s="6">
        <f t="shared" si="16"/>
        <v>141665.474808</v>
      </c>
      <c r="AD23" s="6">
        <f t="shared" si="17"/>
        <v>141339.64600800001</v>
      </c>
      <c r="AE23" s="6">
        <f t="shared" si="18"/>
        <v>141502.56040800002</v>
      </c>
      <c r="AF23" s="6">
        <f t="shared" si="19"/>
        <v>142072.76080800002</v>
      </c>
      <c r="AG23" s="6">
        <f t="shared" si="20"/>
        <v>142072.76080800002</v>
      </c>
      <c r="AH23" s="6">
        <f t="shared" si="21"/>
        <v>176980.02201000004</v>
      </c>
      <c r="AI23" s="6">
        <f t="shared" si="22"/>
        <v>176654.19321000003</v>
      </c>
      <c r="AJ23" s="6">
        <f t="shared" si="23"/>
        <v>176817.10761000004</v>
      </c>
      <c r="AK23" s="6">
        <f t="shared" si="24"/>
        <v>177387.30801000007</v>
      </c>
      <c r="AL23" s="6">
        <f t="shared" si="25"/>
        <v>177387.30801000007</v>
      </c>
    </row>
    <row r="24" spans="1:38" x14ac:dyDescent="0.35">
      <c r="A24" s="7" t="s">
        <v>0</v>
      </c>
      <c r="B24" s="2" t="s">
        <v>46</v>
      </c>
      <c r="C24" s="3">
        <v>55</v>
      </c>
      <c r="D24" s="3">
        <v>1316.34</v>
      </c>
      <c r="E24" s="3">
        <v>1495.95</v>
      </c>
      <c r="F24" s="3">
        <v>1681.29</v>
      </c>
      <c r="G24" s="3">
        <v>2149.1999999999998</v>
      </c>
      <c r="H24" s="10">
        <f t="shared" si="5"/>
        <v>2686.5</v>
      </c>
      <c r="I24" s="5">
        <v>5</v>
      </c>
      <c r="J24" s="4">
        <v>1</v>
      </c>
      <c r="K24" s="4">
        <v>3</v>
      </c>
      <c r="L24" s="4">
        <v>10</v>
      </c>
      <c r="M24" s="4">
        <v>10</v>
      </c>
      <c r="N24" s="6">
        <f t="shared" si="0"/>
        <v>107632.656648</v>
      </c>
      <c r="O24" s="6">
        <f t="shared" si="1"/>
        <v>107306.82784799999</v>
      </c>
      <c r="P24" s="6">
        <f t="shared" si="2"/>
        <v>107469.742248</v>
      </c>
      <c r="Q24" s="6">
        <f t="shared" si="3"/>
        <v>108039.942648</v>
      </c>
      <c r="R24" s="6">
        <f t="shared" si="4"/>
        <v>108039.942648</v>
      </c>
      <c r="S24" s="6">
        <f t="shared" si="6"/>
        <v>122263.18433999999</v>
      </c>
      <c r="T24" s="6">
        <f t="shared" si="7"/>
        <v>121937.35554000002</v>
      </c>
      <c r="U24" s="6">
        <f t="shared" si="8"/>
        <v>122100.26994</v>
      </c>
      <c r="V24" s="6">
        <f t="shared" si="9"/>
        <v>122670.47034</v>
      </c>
      <c r="W24" s="6">
        <f t="shared" si="10"/>
        <v>122670.47034</v>
      </c>
      <c r="X24" s="6">
        <f t="shared" si="11"/>
        <v>137360.46178800002</v>
      </c>
      <c r="Y24" s="6">
        <f t="shared" si="12"/>
        <v>137034.632988</v>
      </c>
      <c r="Z24" s="6">
        <f t="shared" si="13"/>
        <v>137197.54738800001</v>
      </c>
      <c r="AA24" s="6">
        <f t="shared" si="14"/>
        <v>137767.74778800004</v>
      </c>
      <c r="AB24" s="6">
        <f t="shared" si="15"/>
        <v>137767.74778800004</v>
      </c>
      <c r="AC24" s="6">
        <f t="shared" si="16"/>
        <v>175475.10023999997</v>
      </c>
      <c r="AD24" s="6">
        <f t="shared" si="17"/>
        <v>175149.27143999998</v>
      </c>
      <c r="AE24" s="6">
        <f t="shared" si="18"/>
        <v>175312.18583999999</v>
      </c>
      <c r="AF24" s="6">
        <f t="shared" si="19"/>
        <v>175882.38623999999</v>
      </c>
      <c r="AG24" s="6">
        <f t="shared" si="20"/>
        <v>175882.38623999999</v>
      </c>
      <c r="AH24" s="6">
        <f t="shared" si="21"/>
        <v>219242.05380000002</v>
      </c>
      <c r="AI24" s="6">
        <f t="shared" si="22"/>
        <v>218916.22500000003</v>
      </c>
      <c r="AJ24" s="6">
        <f t="shared" si="23"/>
        <v>219079.13940000004</v>
      </c>
      <c r="AK24" s="6">
        <f t="shared" si="24"/>
        <v>219649.33980000002</v>
      </c>
      <c r="AL24" s="6">
        <f t="shared" si="25"/>
        <v>219649.33980000002</v>
      </c>
    </row>
    <row r="25" spans="1:38" x14ac:dyDescent="0.35">
      <c r="A25" s="7" t="s">
        <v>0</v>
      </c>
      <c r="B25" s="2" t="s">
        <v>48</v>
      </c>
      <c r="C25" s="3">
        <v>75</v>
      </c>
      <c r="D25" s="3">
        <v>1733.89</v>
      </c>
      <c r="E25" s="3">
        <v>1879.97</v>
      </c>
      <c r="F25" s="3">
        <v>2120.2800000000002</v>
      </c>
      <c r="G25" s="3">
        <v>2700.24</v>
      </c>
      <c r="H25" s="10">
        <f t="shared" si="5"/>
        <v>3375.2999999999997</v>
      </c>
      <c r="I25" s="5">
        <v>5</v>
      </c>
      <c r="J25" s="4">
        <v>1</v>
      </c>
      <c r="K25" s="4">
        <v>3</v>
      </c>
      <c r="L25" s="4">
        <v>10</v>
      </c>
      <c r="M25" s="4">
        <v>10</v>
      </c>
      <c r="N25" s="6">
        <f t="shared" si="0"/>
        <v>141645.11050800004</v>
      </c>
      <c r="O25" s="6">
        <f t="shared" si="1"/>
        <v>141319.28170800002</v>
      </c>
      <c r="P25" s="6">
        <f t="shared" si="2"/>
        <v>141482.196108</v>
      </c>
      <c r="Q25" s="6">
        <f t="shared" si="3"/>
        <v>142052.39650800003</v>
      </c>
      <c r="R25" s="6">
        <f t="shared" si="4"/>
        <v>142052.39650800003</v>
      </c>
      <c r="S25" s="6">
        <f t="shared" si="6"/>
        <v>153544.37828400001</v>
      </c>
      <c r="T25" s="6">
        <f t="shared" si="7"/>
        <v>153218.54948400002</v>
      </c>
      <c r="U25" s="6">
        <f t="shared" si="8"/>
        <v>153381.46388400003</v>
      </c>
      <c r="V25" s="6">
        <f t="shared" si="9"/>
        <v>153951.66428400003</v>
      </c>
      <c r="W25" s="6">
        <f t="shared" si="10"/>
        <v>153951.66428400003</v>
      </c>
      <c r="X25" s="6">
        <f t="shared" si="11"/>
        <v>173119.35801600004</v>
      </c>
      <c r="Y25" s="6">
        <f t="shared" si="12"/>
        <v>172793.52921600002</v>
      </c>
      <c r="Z25" s="6">
        <f t="shared" si="13"/>
        <v>172956.44361600003</v>
      </c>
      <c r="AA25" s="6">
        <f t="shared" si="14"/>
        <v>173526.64401600003</v>
      </c>
      <c r="AB25" s="6">
        <f t="shared" si="15"/>
        <v>173526.64401600003</v>
      </c>
      <c r="AC25" s="6">
        <f t="shared" si="16"/>
        <v>220361.27572800001</v>
      </c>
      <c r="AD25" s="6">
        <f t="shared" si="17"/>
        <v>220035.44692800002</v>
      </c>
      <c r="AE25" s="6">
        <f t="shared" si="18"/>
        <v>220198.36132800003</v>
      </c>
      <c r="AF25" s="6">
        <f t="shared" si="19"/>
        <v>220768.561728</v>
      </c>
      <c r="AG25" s="6">
        <f t="shared" si="20"/>
        <v>220768.561728</v>
      </c>
      <c r="AH25" s="6">
        <f t="shared" si="21"/>
        <v>275349.77315999998</v>
      </c>
      <c r="AI25" s="6">
        <f t="shared" si="22"/>
        <v>275023.94436000002</v>
      </c>
      <c r="AJ25" s="6">
        <f t="shared" si="23"/>
        <v>275186.85876000003</v>
      </c>
      <c r="AK25" s="6">
        <f t="shared" si="24"/>
        <v>275757.05916</v>
      </c>
      <c r="AL25" s="6">
        <f t="shared" si="25"/>
        <v>275757.05916</v>
      </c>
    </row>
    <row r="26" spans="1:38" x14ac:dyDescent="0.35">
      <c r="A26" s="7" t="s">
        <v>0</v>
      </c>
      <c r="B26" s="2" t="s">
        <v>50</v>
      </c>
      <c r="C26" s="3">
        <v>90</v>
      </c>
      <c r="D26" s="3">
        <v>1988.91</v>
      </c>
      <c r="E26" s="3">
        <v>2108.69</v>
      </c>
      <c r="F26" s="3">
        <v>2404.09</v>
      </c>
      <c r="G26" s="3">
        <v>3062.57</v>
      </c>
      <c r="H26" s="10">
        <f t="shared" si="5"/>
        <v>3828.2125000000001</v>
      </c>
      <c r="I26" s="5">
        <v>5</v>
      </c>
      <c r="J26" s="4">
        <v>1</v>
      </c>
      <c r="K26" s="4">
        <v>3</v>
      </c>
      <c r="L26" s="4">
        <v>10</v>
      </c>
      <c r="M26" s="4">
        <v>10</v>
      </c>
      <c r="N26" s="6">
        <f t="shared" si="0"/>
        <v>162418.325652</v>
      </c>
      <c r="O26" s="6">
        <f t="shared" si="1"/>
        <v>162092.49685200001</v>
      </c>
      <c r="P26" s="6">
        <f t="shared" si="2"/>
        <v>162255.41125200002</v>
      </c>
      <c r="Q26" s="6">
        <f t="shared" si="3"/>
        <v>162825.61165200002</v>
      </c>
      <c r="R26" s="6">
        <f t="shared" si="4"/>
        <v>162825.61165200002</v>
      </c>
      <c r="S26" s="6">
        <f t="shared" si="6"/>
        <v>172175.26906800002</v>
      </c>
      <c r="T26" s="6">
        <f t="shared" si="7"/>
        <v>171849.44026800003</v>
      </c>
      <c r="U26" s="6">
        <f t="shared" si="8"/>
        <v>172012.35466800001</v>
      </c>
      <c r="V26" s="6">
        <f t="shared" si="9"/>
        <v>172582.55506800005</v>
      </c>
      <c r="W26" s="6">
        <f t="shared" si="10"/>
        <v>172582.55506800005</v>
      </c>
      <c r="X26" s="6">
        <f t="shared" si="11"/>
        <v>196237.72594800001</v>
      </c>
      <c r="Y26" s="6">
        <f t="shared" si="12"/>
        <v>195911.89714800002</v>
      </c>
      <c r="Z26" s="6">
        <f t="shared" si="13"/>
        <v>196074.81154800006</v>
      </c>
      <c r="AA26" s="6">
        <f t="shared" si="14"/>
        <v>196645.011948</v>
      </c>
      <c r="AB26" s="6">
        <f t="shared" si="15"/>
        <v>196645.011948</v>
      </c>
      <c r="AC26" s="6">
        <f t="shared" si="16"/>
        <v>249875.66300400009</v>
      </c>
      <c r="AD26" s="6">
        <f t="shared" si="17"/>
        <v>249549.8342040001</v>
      </c>
      <c r="AE26" s="6">
        <f t="shared" si="18"/>
        <v>249712.74860400008</v>
      </c>
      <c r="AF26" s="6">
        <f t="shared" si="19"/>
        <v>250282.94900400005</v>
      </c>
      <c r="AG26" s="6">
        <f t="shared" si="20"/>
        <v>250282.94900400005</v>
      </c>
      <c r="AH26" s="6">
        <f t="shared" si="21"/>
        <v>312242.75725500006</v>
      </c>
      <c r="AI26" s="6">
        <f t="shared" si="22"/>
        <v>311916.92845500004</v>
      </c>
      <c r="AJ26" s="6">
        <f t="shared" si="23"/>
        <v>312079.84285500005</v>
      </c>
      <c r="AK26" s="6">
        <f t="shared" si="24"/>
        <v>312650.04325500008</v>
      </c>
      <c r="AL26" s="6">
        <f t="shared" si="25"/>
        <v>312650.04325500008</v>
      </c>
    </row>
    <row r="27" spans="1:38" x14ac:dyDescent="0.35">
      <c r="A27" s="7" t="s">
        <v>0</v>
      </c>
      <c r="B27" s="2" t="s">
        <v>52</v>
      </c>
      <c r="C27" s="3">
        <v>0.55000000000000004</v>
      </c>
      <c r="D27" s="3">
        <v>64.56</v>
      </c>
      <c r="E27" s="3">
        <v>108.06</v>
      </c>
      <c r="F27" s="3">
        <v>110.06</v>
      </c>
      <c r="G27" s="3">
        <v>133.12</v>
      </c>
      <c r="H27" s="10">
        <f t="shared" si="5"/>
        <v>166.4</v>
      </c>
      <c r="I27" s="5">
        <v>5</v>
      </c>
      <c r="J27" s="4">
        <v>1</v>
      </c>
      <c r="K27" s="4">
        <v>3</v>
      </c>
      <c r="L27" s="4">
        <v>10</v>
      </c>
      <c r="M27" s="4">
        <v>10</v>
      </c>
      <c r="N27" s="6">
        <f t="shared" si="0"/>
        <v>5666.1628320000009</v>
      </c>
      <c r="O27" s="6">
        <f t="shared" si="1"/>
        <v>5340.3340320000007</v>
      </c>
      <c r="P27" s="6">
        <f t="shared" si="2"/>
        <v>5503.2484320000003</v>
      </c>
      <c r="Q27" s="6">
        <f t="shared" si="3"/>
        <v>6073.4488320000009</v>
      </c>
      <c r="R27" s="6">
        <f t="shared" si="4"/>
        <v>6073.4488320000009</v>
      </c>
      <c r="S27" s="6">
        <f t="shared" si="6"/>
        <v>9209.5510320000012</v>
      </c>
      <c r="T27" s="6">
        <f t="shared" si="7"/>
        <v>8883.7222320000001</v>
      </c>
      <c r="U27" s="6">
        <f t="shared" si="8"/>
        <v>9046.6366319999997</v>
      </c>
      <c r="V27" s="6">
        <f t="shared" si="9"/>
        <v>9616.8370320000013</v>
      </c>
      <c r="W27" s="6">
        <f t="shared" si="10"/>
        <v>9616.8370320000013</v>
      </c>
      <c r="X27" s="6">
        <f t="shared" si="11"/>
        <v>9372.4654320000027</v>
      </c>
      <c r="Y27" s="6">
        <f t="shared" si="12"/>
        <v>9046.6366319999997</v>
      </c>
      <c r="Z27" s="6">
        <f t="shared" si="13"/>
        <v>9209.5510320000012</v>
      </c>
      <c r="AA27" s="6">
        <f t="shared" si="14"/>
        <v>9779.7514320000009</v>
      </c>
      <c r="AB27" s="6">
        <f t="shared" si="15"/>
        <v>9779.7514320000009</v>
      </c>
      <c r="AC27" s="6">
        <f t="shared" si="16"/>
        <v>11250.868464000001</v>
      </c>
      <c r="AD27" s="6">
        <f t="shared" si="17"/>
        <v>10925.039664000002</v>
      </c>
      <c r="AE27" s="6">
        <f t="shared" si="18"/>
        <v>11087.954064000003</v>
      </c>
      <c r="AF27" s="6">
        <f t="shared" si="19"/>
        <v>11658.154464000001</v>
      </c>
      <c r="AG27" s="6">
        <f t="shared" si="20"/>
        <v>11658.154464000001</v>
      </c>
      <c r="AH27" s="6">
        <f t="shared" si="21"/>
        <v>13961.764080000001</v>
      </c>
      <c r="AI27" s="6">
        <f t="shared" si="22"/>
        <v>13635.93528</v>
      </c>
      <c r="AJ27" s="6">
        <f t="shared" si="23"/>
        <v>13798.849680000001</v>
      </c>
      <c r="AK27" s="6">
        <f t="shared" si="24"/>
        <v>14369.050080000001</v>
      </c>
      <c r="AL27" s="6">
        <f t="shared" si="25"/>
        <v>14369.050080000001</v>
      </c>
    </row>
    <row r="28" spans="1:38" x14ac:dyDescent="0.35">
      <c r="A28" s="7" t="s">
        <v>0</v>
      </c>
      <c r="B28" s="2" t="s">
        <v>54</v>
      </c>
      <c r="C28" s="3">
        <v>0.75</v>
      </c>
      <c r="D28" s="3">
        <v>76.28</v>
      </c>
      <c r="E28" s="3">
        <v>124.02</v>
      </c>
      <c r="F28" s="3">
        <v>126.76</v>
      </c>
      <c r="G28" s="3">
        <v>161.16</v>
      </c>
      <c r="H28" s="10">
        <f t="shared" si="5"/>
        <v>201.45</v>
      </c>
      <c r="I28" s="5">
        <v>5</v>
      </c>
      <c r="J28" s="4">
        <v>1</v>
      </c>
      <c r="K28" s="4">
        <v>3</v>
      </c>
      <c r="L28" s="4">
        <v>10</v>
      </c>
      <c r="M28" s="4">
        <v>10</v>
      </c>
      <c r="N28" s="6">
        <f t="shared" si="0"/>
        <v>6620.8412160000007</v>
      </c>
      <c r="O28" s="6">
        <f t="shared" si="1"/>
        <v>6295.0124160000014</v>
      </c>
      <c r="P28" s="6">
        <f t="shared" si="2"/>
        <v>6457.9268160000011</v>
      </c>
      <c r="Q28" s="6">
        <f t="shared" si="3"/>
        <v>7028.1272160000008</v>
      </c>
      <c r="R28" s="6">
        <f t="shared" si="4"/>
        <v>7028.1272160000008</v>
      </c>
      <c r="S28" s="6">
        <f t="shared" si="6"/>
        <v>10509.607944000001</v>
      </c>
      <c r="T28" s="6">
        <f t="shared" si="7"/>
        <v>10183.779144</v>
      </c>
      <c r="U28" s="6">
        <f t="shared" si="8"/>
        <v>10346.693544</v>
      </c>
      <c r="V28" s="6">
        <f t="shared" si="9"/>
        <v>10916.893944000001</v>
      </c>
      <c r="W28" s="6">
        <f t="shared" si="10"/>
        <v>10916.893944000001</v>
      </c>
      <c r="X28" s="6">
        <f t="shared" si="11"/>
        <v>10732.800671999999</v>
      </c>
      <c r="Y28" s="6">
        <f t="shared" si="12"/>
        <v>10406.971872</v>
      </c>
      <c r="Z28" s="6">
        <f t="shared" si="13"/>
        <v>10569.886272000002</v>
      </c>
      <c r="AA28" s="6">
        <f t="shared" si="14"/>
        <v>11140.086671999999</v>
      </c>
      <c r="AB28" s="6">
        <f t="shared" si="15"/>
        <v>11140.086671999999</v>
      </c>
      <c r="AC28" s="6">
        <f t="shared" si="16"/>
        <v>13534.928352000001</v>
      </c>
      <c r="AD28" s="6">
        <f t="shared" si="17"/>
        <v>13209.099552000001</v>
      </c>
      <c r="AE28" s="6">
        <f t="shared" si="18"/>
        <v>13372.013951999999</v>
      </c>
      <c r="AF28" s="6">
        <f t="shared" si="19"/>
        <v>13942.214351999999</v>
      </c>
      <c r="AG28" s="6">
        <f t="shared" si="20"/>
        <v>13942.214351999999</v>
      </c>
      <c r="AH28" s="6">
        <f t="shared" si="21"/>
        <v>16816.838940000001</v>
      </c>
      <c r="AI28" s="6">
        <f t="shared" si="22"/>
        <v>16491.010140000002</v>
      </c>
      <c r="AJ28" s="6">
        <f t="shared" si="23"/>
        <v>16653.92454</v>
      </c>
      <c r="AK28" s="6">
        <f t="shared" si="24"/>
        <v>17224.124940000002</v>
      </c>
      <c r="AL28" s="6">
        <f t="shared" si="25"/>
        <v>17224.124940000002</v>
      </c>
    </row>
    <row r="29" spans="1:38" x14ac:dyDescent="0.35">
      <c r="A29" s="7" t="s">
        <v>0</v>
      </c>
      <c r="B29" s="2" t="s">
        <v>56</v>
      </c>
      <c r="C29" s="3">
        <v>1.1000000000000001</v>
      </c>
      <c r="D29" s="3">
        <v>88</v>
      </c>
      <c r="E29" s="3">
        <v>138.85</v>
      </c>
      <c r="F29" s="3">
        <v>138.85</v>
      </c>
      <c r="G29" s="3">
        <v>188.71</v>
      </c>
      <c r="H29" s="10">
        <f t="shared" si="5"/>
        <v>235.88750000000002</v>
      </c>
      <c r="I29" s="5">
        <v>5</v>
      </c>
      <c r="J29" s="4">
        <v>1</v>
      </c>
      <c r="K29" s="4">
        <v>3</v>
      </c>
      <c r="L29" s="4">
        <v>10</v>
      </c>
      <c r="M29" s="4">
        <v>10</v>
      </c>
      <c r="N29" s="6">
        <f t="shared" si="0"/>
        <v>7575.5195999999996</v>
      </c>
      <c r="O29" s="6">
        <f t="shared" si="1"/>
        <v>7249.6908000000003</v>
      </c>
      <c r="P29" s="6">
        <f t="shared" si="2"/>
        <v>7412.6052000000009</v>
      </c>
      <c r="Q29" s="6">
        <f t="shared" si="3"/>
        <v>7982.8056000000015</v>
      </c>
      <c r="R29" s="6">
        <f t="shared" si="4"/>
        <v>7982.8056000000015</v>
      </c>
      <c r="S29" s="6">
        <f t="shared" si="6"/>
        <v>11717.618220000002</v>
      </c>
      <c r="T29" s="6">
        <f t="shared" si="7"/>
        <v>11391.789420000001</v>
      </c>
      <c r="U29" s="6">
        <f t="shared" si="8"/>
        <v>11554.703820000002</v>
      </c>
      <c r="V29" s="6">
        <f t="shared" si="9"/>
        <v>12124.904220000002</v>
      </c>
      <c r="W29" s="6">
        <f t="shared" si="10"/>
        <v>12124.904220000002</v>
      </c>
      <c r="X29" s="6">
        <f t="shared" si="11"/>
        <v>11717.618220000002</v>
      </c>
      <c r="Y29" s="6">
        <f t="shared" si="12"/>
        <v>11391.789420000001</v>
      </c>
      <c r="Z29" s="6">
        <f t="shared" si="13"/>
        <v>11554.703820000002</v>
      </c>
      <c r="AA29" s="6">
        <f t="shared" si="14"/>
        <v>12124.904220000002</v>
      </c>
      <c r="AB29" s="6">
        <f t="shared" si="15"/>
        <v>12124.904220000002</v>
      </c>
      <c r="AC29" s="6">
        <f t="shared" si="16"/>
        <v>15779.074212000001</v>
      </c>
      <c r="AD29" s="6">
        <f t="shared" si="17"/>
        <v>15453.245412000004</v>
      </c>
      <c r="AE29" s="6">
        <f t="shared" si="18"/>
        <v>15616.159812000004</v>
      </c>
      <c r="AF29" s="6">
        <f t="shared" si="19"/>
        <v>16186.360212000001</v>
      </c>
      <c r="AG29" s="6">
        <f t="shared" si="20"/>
        <v>16186.360212000001</v>
      </c>
      <c r="AH29" s="6">
        <f t="shared" si="21"/>
        <v>19622.021265000003</v>
      </c>
      <c r="AI29" s="6">
        <f t="shared" si="22"/>
        <v>19296.192465</v>
      </c>
      <c r="AJ29" s="6">
        <f t="shared" si="23"/>
        <v>19459.106865000002</v>
      </c>
      <c r="AK29" s="6">
        <f t="shared" si="24"/>
        <v>20029.307265000003</v>
      </c>
      <c r="AL29" s="6">
        <f t="shared" si="25"/>
        <v>20029.307265000003</v>
      </c>
    </row>
    <row r="30" spans="1:38" x14ac:dyDescent="0.35">
      <c r="A30" s="7" t="s">
        <v>0</v>
      </c>
      <c r="B30" s="2" t="s">
        <v>58</v>
      </c>
      <c r="C30" s="3">
        <v>1.5</v>
      </c>
      <c r="D30" s="3">
        <v>123.15</v>
      </c>
      <c r="E30" s="3">
        <v>160.04</v>
      </c>
      <c r="F30" s="3">
        <v>168.02</v>
      </c>
      <c r="G30" s="3">
        <v>225.85</v>
      </c>
      <c r="H30" s="10">
        <f t="shared" si="5"/>
        <v>282.3125</v>
      </c>
      <c r="I30" s="5">
        <v>5</v>
      </c>
      <c r="J30" s="4">
        <v>1</v>
      </c>
      <c r="K30" s="4">
        <v>3</v>
      </c>
      <c r="L30" s="4">
        <v>10</v>
      </c>
      <c r="M30" s="4">
        <v>10</v>
      </c>
      <c r="N30" s="6">
        <f t="shared" si="0"/>
        <v>10438.740180000001</v>
      </c>
      <c r="O30" s="6">
        <f t="shared" si="1"/>
        <v>10112.911380000001</v>
      </c>
      <c r="P30" s="6">
        <f t="shared" si="2"/>
        <v>10275.825780000001</v>
      </c>
      <c r="Q30" s="6">
        <f t="shared" si="3"/>
        <v>10846.026180000001</v>
      </c>
      <c r="R30" s="6">
        <f t="shared" si="4"/>
        <v>10846.026180000001</v>
      </c>
      <c r="S30" s="6">
        <f t="shared" si="6"/>
        <v>13443.696288000001</v>
      </c>
      <c r="T30" s="6">
        <f t="shared" si="7"/>
        <v>13117.867488000002</v>
      </c>
      <c r="U30" s="6">
        <f t="shared" si="8"/>
        <v>13280.781888</v>
      </c>
      <c r="V30" s="6">
        <f t="shared" si="9"/>
        <v>13850.982288000001</v>
      </c>
      <c r="W30" s="6">
        <f t="shared" si="10"/>
        <v>13850.982288000001</v>
      </c>
      <c r="X30" s="6">
        <f t="shared" si="11"/>
        <v>14093.724744000001</v>
      </c>
      <c r="Y30" s="6">
        <f t="shared" si="12"/>
        <v>13767.895944000004</v>
      </c>
      <c r="Z30" s="6">
        <f t="shared" si="13"/>
        <v>13930.810344000003</v>
      </c>
      <c r="AA30" s="6">
        <f t="shared" si="14"/>
        <v>14501.010744000003</v>
      </c>
      <c r="AB30" s="6">
        <f t="shared" si="15"/>
        <v>14501.010744000003</v>
      </c>
      <c r="AC30" s="6">
        <f t="shared" si="16"/>
        <v>18804.394620000003</v>
      </c>
      <c r="AD30" s="6">
        <f t="shared" si="17"/>
        <v>18478.565820000003</v>
      </c>
      <c r="AE30" s="6">
        <f t="shared" si="18"/>
        <v>18641.480220000001</v>
      </c>
      <c r="AF30" s="6">
        <f t="shared" si="19"/>
        <v>19211.680620000003</v>
      </c>
      <c r="AG30" s="6">
        <f t="shared" si="20"/>
        <v>19211.680620000003</v>
      </c>
      <c r="AH30" s="6">
        <f t="shared" si="21"/>
        <v>23403.671775000003</v>
      </c>
      <c r="AI30" s="6">
        <f t="shared" si="22"/>
        <v>23077.842975000003</v>
      </c>
      <c r="AJ30" s="6">
        <f t="shared" si="23"/>
        <v>23240.757375000001</v>
      </c>
      <c r="AK30" s="6">
        <f t="shared" si="24"/>
        <v>23810.957774999999</v>
      </c>
      <c r="AL30" s="6">
        <f t="shared" si="25"/>
        <v>23810.957774999999</v>
      </c>
    </row>
    <row r="31" spans="1:38" x14ac:dyDescent="0.35">
      <c r="A31" s="7" t="s">
        <v>0</v>
      </c>
      <c r="B31" s="2" t="s">
        <v>5</v>
      </c>
      <c r="C31" s="3">
        <v>2.2000000000000002</v>
      </c>
      <c r="D31" s="3">
        <v>158.41999999999999</v>
      </c>
      <c r="E31" s="3">
        <v>194.94</v>
      </c>
      <c r="F31" s="3">
        <v>207.03</v>
      </c>
      <c r="G31" s="3">
        <v>268.23</v>
      </c>
      <c r="H31" s="10">
        <f t="shared" si="5"/>
        <v>335.28750000000002</v>
      </c>
      <c r="I31" s="5">
        <v>5</v>
      </c>
      <c r="J31" s="4">
        <v>1</v>
      </c>
      <c r="K31" s="4">
        <v>3</v>
      </c>
      <c r="L31" s="4">
        <v>10</v>
      </c>
      <c r="M31" s="4">
        <v>10</v>
      </c>
      <c r="N31" s="6">
        <f t="shared" si="0"/>
        <v>13311.735623999999</v>
      </c>
      <c r="O31" s="6">
        <f t="shared" si="1"/>
        <v>12985.906824</v>
      </c>
      <c r="P31" s="6">
        <f t="shared" si="2"/>
        <v>13148.821224000001</v>
      </c>
      <c r="Q31" s="6">
        <f t="shared" si="3"/>
        <v>13719.021623999999</v>
      </c>
      <c r="R31" s="6">
        <f t="shared" si="4"/>
        <v>13719.021623999999</v>
      </c>
      <c r="S31" s="6">
        <f t="shared" si="6"/>
        <v>16286.552567999999</v>
      </c>
      <c r="T31" s="6">
        <f t="shared" si="7"/>
        <v>15960.723768000002</v>
      </c>
      <c r="U31" s="6">
        <f t="shared" si="8"/>
        <v>16123.638167999998</v>
      </c>
      <c r="V31" s="6">
        <f t="shared" si="9"/>
        <v>16693.838568000003</v>
      </c>
      <c r="W31" s="6">
        <f t="shared" si="10"/>
        <v>16693.838568000003</v>
      </c>
      <c r="X31" s="6">
        <f t="shared" si="11"/>
        <v>17271.370115999998</v>
      </c>
      <c r="Y31" s="6">
        <f t="shared" si="12"/>
        <v>16945.541316000003</v>
      </c>
      <c r="Z31" s="6">
        <f t="shared" si="13"/>
        <v>17108.455715999997</v>
      </c>
      <c r="AA31" s="6">
        <f t="shared" si="14"/>
        <v>17678.656116000002</v>
      </c>
      <c r="AB31" s="6">
        <f t="shared" si="15"/>
        <v>17678.656116000002</v>
      </c>
      <c r="AC31" s="6">
        <f t="shared" si="16"/>
        <v>22256.550756000004</v>
      </c>
      <c r="AD31" s="6">
        <f t="shared" si="17"/>
        <v>21930.721956000001</v>
      </c>
      <c r="AE31" s="6">
        <f t="shared" si="18"/>
        <v>22093.636356000003</v>
      </c>
      <c r="AF31" s="6">
        <f t="shared" si="19"/>
        <v>22663.836756000004</v>
      </c>
      <c r="AG31" s="6">
        <f t="shared" si="20"/>
        <v>22663.836756000004</v>
      </c>
      <c r="AH31" s="6">
        <f t="shared" si="21"/>
        <v>27718.866945000005</v>
      </c>
      <c r="AI31" s="6">
        <f t="shared" si="22"/>
        <v>27393.038145000002</v>
      </c>
      <c r="AJ31" s="6">
        <f t="shared" si="23"/>
        <v>27555.952545000007</v>
      </c>
      <c r="AK31" s="6">
        <f t="shared" si="24"/>
        <v>28126.152945000002</v>
      </c>
      <c r="AL31" s="6">
        <f t="shared" si="25"/>
        <v>28126.152945000002</v>
      </c>
    </row>
    <row r="32" spans="1:38" x14ac:dyDescent="0.35">
      <c r="A32" s="7" t="s">
        <v>0</v>
      </c>
      <c r="B32" s="2" t="s">
        <v>7</v>
      </c>
      <c r="C32" s="3">
        <v>3</v>
      </c>
      <c r="D32" s="3">
        <v>195.56</v>
      </c>
      <c r="E32" s="3">
        <v>271.22000000000003</v>
      </c>
      <c r="F32" s="3">
        <v>296.14999999999998</v>
      </c>
      <c r="G32" s="3">
        <v>369.81</v>
      </c>
      <c r="H32" s="10">
        <f t="shared" si="5"/>
        <v>462.26249999999999</v>
      </c>
      <c r="I32" s="5">
        <v>5</v>
      </c>
      <c r="J32" s="4">
        <v>1</v>
      </c>
      <c r="K32" s="4">
        <v>3</v>
      </c>
      <c r="L32" s="4">
        <v>10</v>
      </c>
      <c r="M32" s="4">
        <v>10</v>
      </c>
      <c r="N32" s="6">
        <f t="shared" si="0"/>
        <v>16337.056032000004</v>
      </c>
      <c r="O32" s="6">
        <f t="shared" si="1"/>
        <v>16011.227232000003</v>
      </c>
      <c r="P32" s="6">
        <f t="shared" si="2"/>
        <v>16174.141632000003</v>
      </c>
      <c r="Q32" s="6">
        <f t="shared" si="3"/>
        <v>16744.342032000004</v>
      </c>
      <c r="R32" s="6">
        <f t="shared" si="4"/>
        <v>16744.342032000004</v>
      </c>
      <c r="S32" s="6">
        <f t="shared" si="6"/>
        <v>22500.107784000003</v>
      </c>
      <c r="T32" s="6">
        <f t="shared" si="7"/>
        <v>22174.278984000004</v>
      </c>
      <c r="U32" s="6">
        <f t="shared" si="8"/>
        <v>22337.193384000006</v>
      </c>
      <c r="V32" s="6">
        <f t="shared" si="9"/>
        <v>22907.393784000004</v>
      </c>
      <c r="W32" s="6">
        <f t="shared" si="10"/>
        <v>22907.393784000004</v>
      </c>
      <c r="X32" s="6">
        <f t="shared" si="11"/>
        <v>24530.835780000001</v>
      </c>
      <c r="Y32" s="6">
        <f t="shared" si="12"/>
        <v>24205.006979999998</v>
      </c>
      <c r="Z32" s="6">
        <f t="shared" si="13"/>
        <v>24367.92138</v>
      </c>
      <c r="AA32" s="6">
        <f t="shared" si="14"/>
        <v>24938.121779999998</v>
      </c>
      <c r="AB32" s="6">
        <f t="shared" si="15"/>
        <v>24938.121779999998</v>
      </c>
      <c r="AC32" s="6">
        <f t="shared" si="16"/>
        <v>30530.973132000003</v>
      </c>
      <c r="AD32" s="6">
        <f t="shared" si="17"/>
        <v>30205.144332</v>
      </c>
      <c r="AE32" s="6">
        <f t="shared" si="18"/>
        <v>30368.058732000005</v>
      </c>
      <c r="AF32" s="6">
        <f t="shared" si="19"/>
        <v>30938.259132000007</v>
      </c>
      <c r="AG32" s="6">
        <f t="shared" si="20"/>
        <v>30938.259132000007</v>
      </c>
      <c r="AH32" s="6">
        <f t="shared" si="21"/>
        <v>38061.894915000012</v>
      </c>
      <c r="AI32" s="6">
        <f t="shared" si="22"/>
        <v>37736.066115000001</v>
      </c>
      <c r="AJ32" s="6">
        <f t="shared" si="23"/>
        <v>37898.980515000003</v>
      </c>
      <c r="AK32" s="6">
        <f t="shared" si="24"/>
        <v>38469.180915000004</v>
      </c>
      <c r="AL32" s="6">
        <f t="shared" si="25"/>
        <v>38469.180915000004</v>
      </c>
    </row>
    <row r="33" spans="1:38" x14ac:dyDescent="0.35">
      <c r="A33" s="7" t="s">
        <v>0</v>
      </c>
      <c r="B33" s="2" t="s">
        <v>9</v>
      </c>
      <c r="C33" s="3">
        <v>4</v>
      </c>
      <c r="D33" s="3">
        <v>223.73</v>
      </c>
      <c r="E33" s="3">
        <v>299.76</v>
      </c>
      <c r="F33" s="3">
        <v>322.07</v>
      </c>
      <c r="G33" s="3">
        <v>413.44</v>
      </c>
      <c r="H33" s="10">
        <f t="shared" si="5"/>
        <v>516.79999999999995</v>
      </c>
      <c r="I33" s="5">
        <v>5</v>
      </c>
      <c r="J33" s="4">
        <v>1</v>
      </c>
      <c r="K33" s="4">
        <v>3</v>
      </c>
      <c r="L33" s="4">
        <v>10</v>
      </c>
      <c r="M33" s="4">
        <v>10</v>
      </c>
      <c r="N33" s="6">
        <f t="shared" si="0"/>
        <v>18631.705355999999</v>
      </c>
      <c r="O33" s="6">
        <f t="shared" si="1"/>
        <v>18305.876555999999</v>
      </c>
      <c r="P33" s="6">
        <f t="shared" si="2"/>
        <v>18468.790955999997</v>
      </c>
      <c r="Q33" s="6">
        <f t="shared" si="3"/>
        <v>19038.991355999995</v>
      </c>
      <c r="R33" s="6">
        <f t="shared" si="4"/>
        <v>19038.991355999995</v>
      </c>
      <c r="S33" s="6">
        <f t="shared" si="6"/>
        <v>24824.896272000002</v>
      </c>
      <c r="T33" s="6">
        <f t="shared" si="7"/>
        <v>24499.067472000002</v>
      </c>
      <c r="U33" s="6">
        <f t="shared" si="8"/>
        <v>24661.981872</v>
      </c>
      <c r="V33" s="6">
        <f t="shared" si="9"/>
        <v>25232.182272000002</v>
      </c>
      <c r="W33" s="6">
        <f t="shared" si="10"/>
        <v>25232.182272000002</v>
      </c>
      <c r="X33" s="6">
        <f t="shared" si="11"/>
        <v>26642.206403999997</v>
      </c>
      <c r="Y33" s="6">
        <f t="shared" si="12"/>
        <v>26316.377604000005</v>
      </c>
      <c r="Z33" s="6">
        <f t="shared" si="13"/>
        <v>26479.292004000003</v>
      </c>
      <c r="AA33" s="6">
        <f t="shared" si="14"/>
        <v>27049.492404000001</v>
      </c>
      <c r="AB33" s="6">
        <f t="shared" si="15"/>
        <v>27049.492404000001</v>
      </c>
      <c r="AC33" s="6">
        <f t="shared" si="16"/>
        <v>34084.950768000002</v>
      </c>
      <c r="AD33" s="6">
        <f t="shared" si="17"/>
        <v>33759.121968000007</v>
      </c>
      <c r="AE33" s="6">
        <f t="shared" si="18"/>
        <v>33922.036368000001</v>
      </c>
      <c r="AF33" s="6">
        <f t="shared" si="19"/>
        <v>34492.236768000002</v>
      </c>
      <c r="AG33" s="6">
        <f t="shared" si="20"/>
        <v>34492.236768000002</v>
      </c>
      <c r="AH33" s="6">
        <f t="shared" si="21"/>
        <v>42504.366959999999</v>
      </c>
      <c r="AI33" s="6">
        <f t="shared" si="22"/>
        <v>42178.538159999996</v>
      </c>
      <c r="AJ33" s="6">
        <f t="shared" si="23"/>
        <v>42341.452559999998</v>
      </c>
      <c r="AK33" s="6">
        <f t="shared" si="24"/>
        <v>42911.652960000007</v>
      </c>
      <c r="AL33" s="6">
        <f t="shared" si="25"/>
        <v>42911.652960000007</v>
      </c>
    </row>
    <row r="34" spans="1:38" x14ac:dyDescent="0.35">
      <c r="A34" s="7" t="s">
        <v>0</v>
      </c>
      <c r="B34" s="2" t="s">
        <v>11</v>
      </c>
      <c r="C34" s="3">
        <v>5.5</v>
      </c>
      <c r="D34" s="3">
        <v>250.9</v>
      </c>
      <c r="E34" s="3">
        <v>304.62</v>
      </c>
      <c r="F34" s="3">
        <v>329.18</v>
      </c>
      <c r="G34" s="3">
        <v>513.15</v>
      </c>
      <c r="H34" s="10">
        <f t="shared" si="5"/>
        <v>641.4375</v>
      </c>
      <c r="I34" s="5">
        <v>5</v>
      </c>
      <c r="J34" s="4">
        <v>1</v>
      </c>
      <c r="K34" s="4">
        <v>3</v>
      </c>
      <c r="L34" s="4">
        <v>10</v>
      </c>
      <c r="M34" s="4">
        <v>10</v>
      </c>
      <c r="N34" s="6">
        <f t="shared" si="0"/>
        <v>20844.897480000007</v>
      </c>
      <c r="O34" s="6">
        <f t="shared" si="1"/>
        <v>20519.068680000004</v>
      </c>
      <c r="P34" s="6">
        <f t="shared" si="2"/>
        <v>20681.983080000005</v>
      </c>
      <c r="Q34" s="6">
        <f t="shared" si="3"/>
        <v>21252.18348</v>
      </c>
      <c r="R34" s="6">
        <f t="shared" si="4"/>
        <v>21252.18348</v>
      </c>
      <c r="S34" s="6">
        <f t="shared" si="6"/>
        <v>25220.778264000008</v>
      </c>
      <c r="T34" s="6">
        <f t="shared" si="7"/>
        <v>24894.949464000001</v>
      </c>
      <c r="U34" s="6">
        <f t="shared" si="8"/>
        <v>25057.863864000006</v>
      </c>
      <c r="V34" s="6">
        <f t="shared" si="9"/>
        <v>25628.064264000008</v>
      </c>
      <c r="W34" s="6">
        <f t="shared" si="10"/>
        <v>25628.064264000008</v>
      </c>
      <c r="X34" s="6">
        <f t="shared" si="11"/>
        <v>27221.367096000005</v>
      </c>
      <c r="Y34" s="6">
        <f t="shared" si="12"/>
        <v>26895.538296000002</v>
      </c>
      <c r="Z34" s="6">
        <f t="shared" si="13"/>
        <v>27058.452696000008</v>
      </c>
      <c r="AA34" s="6">
        <f t="shared" si="14"/>
        <v>27628.653096000005</v>
      </c>
      <c r="AB34" s="6">
        <f t="shared" si="15"/>
        <v>27628.653096000005</v>
      </c>
      <c r="AC34" s="6">
        <f t="shared" si="16"/>
        <v>42207.048180000005</v>
      </c>
      <c r="AD34" s="6">
        <f t="shared" si="17"/>
        <v>41881.21938000001</v>
      </c>
      <c r="AE34" s="6">
        <f t="shared" si="18"/>
        <v>42044.133780000011</v>
      </c>
      <c r="AF34" s="6">
        <f t="shared" si="19"/>
        <v>42614.334180000005</v>
      </c>
      <c r="AG34" s="6">
        <f t="shared" si="20"/>
        <v>42614.334180000005</v>
      </c>
      <c r="AH34" s="6">
        <f t="shared" si="21"/>
        <v>52656.98872500001</v>
      </c>
      <c r="AI34" s="6">
        <f t="shared" si="22"/>
        <v>52331.159925</v>
      </c>
      <c r="AJ34" s="6">
        <f t="shared" si="23"/>
        <v>52494.074325000001</v>
      </c>
      <c r="AK34" s="6">
        <f t="shared" si="24"/>
        <v>53064.274725000003</v>
      </c>
      <c r="AL34" s="6">
        <f t="shared" si="25"/>
        <v>53064.274725000003</v>
      </c>
    </row>
    <row r="35" spans="1:38" x14ac:dyDescent="0.35">
      <c r="A35" s="7" t="s">
        <v>0</v>
      </c>
      <c r="B35" s="2" t="s">
        <v>13</v>
      </c>
      <c r="C35" s="3">
        <v>7.5</v>
      </c>
      <c r="D35" s="3">
        <v>360.46</v>
      </c>
      <c r="E35" s="3">
        <v>434.13</v>
      </c>
      <c r="F35" s="3">
        <v>468.4</v>
      </c>
      <c r="G35" s="3">
        <v>630.19000000000005</v>
      </c>
      <c r="H35" s="10">
        <f t="shared" si="5"/>
        <v>787.73750000000007</v>
      </c>
      <c r="I35" s="5">
        <v>5</v>
      </c>
      <c r="J35" s="4">
        <v>1</v>
      </c>
      <c r="K35" s="4">
        <v>3</v>
      </c>
      <c r="L35" s="4">
        <v>10</v>
      </c>
      <c r="M35" s="4">
        <v>10</v>
      </c>
      <c r="N35" s="6">
        <f t="shared" ref="N35:N57" si="26">(D35+I35)*33*1.1*1.2*1.1*1.7</f>
        <v>29769.348311999998</v>
      </c>
      <c r="O35" s="6">
        <f t="shared" ref="O35:O57" si="27">(D35+J35)*33*1.1*1.2*1.1*1.7</f>
        <v>29443.519512000003</v>
      </c>
      <c r="P35" s="6">
        <f t="shared" ref="P35:P57" si="28">(D35+K35)*33*1.1*1.2*1.1*1.7</f>
        <v>29606.433912</v>
      </c>
      <c r="Q35" s="6">
        <f t="shared" ref="Q35:Q57" si="29">(D35+L35)*33*1.1*1.2*1.1*1.7</f>
        <v>30176.634311999995</v>
      </c>
      <c r="R35" s="6">
        <f t="shared" ref="R35:R57" si="30">(D35+M35)*33*1.1*1.2*1.1*1.7</f>
        <v>30176.634311999995</v>
      </c>
      <c r="S35" s="6">
        <f t="shared" si="6"/>
        <v>35770.300236000003</v>
      </c>
      <c r="T35" s="6">
        <f t="shared" si="7"/>
        <v>35444.471436000007</v>
      </c>
      <c r="U35" s="6">
        <f t="shared" si="8"/>
        <v>35607.385836000001</v>
      </c>
      <c r="V35" s="6">
        <f t="shared" si="9"/>
        <v>36177.586235999996</v>
      </c>
      <c r="W35" s="6">
        <f t="shared" si="10"/>
        <v>36177.586235999996</v>
      </c>
      <c r="X35" s="6">
        <f t="shared" si="11"/>
        <v>38561.838480000006</v>
      </c>
      <c r="Y35" s="6">
        <f t="shared" si="12"/>
        <v>38236.00968000001</v>
      </c>
      <c r="Z35" s="6">
        <f t="shared" si="13"/>
        <v>38398.924079999997</v>
      </c>
      <c r="AA35" s="6">
        <f t="shared" si="14"/>
        <v>38969.124480000006</v>
      </c>
      <c r="AB35" s="6">
        <f t="shared" si="15"/>
        <v>38969.124480000006</v>
      </c>
      <c r="AC35" s="6">
        <f t="shared" si="16"/>
        <v>51740.798868000005</v>
      </c>
      <c r="AD35" s="6">
        <f t="shared" si="17"/>
        <v>51414.97006800001</v>
      </c>
      <c r="AE35" s="6">
        <f t="shared" si="18"/>
        <v>51577.884468000004</v>
      </c>
      <c r="AF35" s="6">
        <f t="shared" si="19"/>
        <v>52148.084868000005</v>
      </c>
      <c r="AG35" s="6">
        <f t="shared" si="20"/>
        <v>52148.084868000005</v>
      </c>
      <c r="AH35" s="6">
        <f t="shared" si="21"/>
        <v>64574.17708500001</v>
      </c>
      <c r="AI35" s="6">
        <f t="shared" si="22"/>
        <v>64248.348285</v>
      </c>
      <c r="AJ35" s="6">
        <f t="shared" si="23"/>
        <v>64411.262685000009</v>
      </c>
      <c r="AK35" s="6">
        <f t="shared" si="24"/>
        <v>64981.463085000003</v>
      </c>
      <c r="AL35" s="6">
        <f t="shared" si="25"/>
        <v>64981.463085000003</v>
      </c>
    </row>
    <row r="36" spans="1:38" x14ac:dyDescent="0.35">
      <c r="A36" s="7" t="s">
        <v>0</v>
      </c>
      <c r="B36" s="2" t="s">
        <v>15</v>
      </c>
      <c r="C36" s="3">
        <v>11</v>
      </c>
      <c r="D36" s="3">
        <v>416.93</v>
      </c>
      <c r="E36" s="3">
        <v>490.96</v>
      </c>
      <c r="F36" s="3">
        <v>541.94000000000005</v>
      </c>
      <c r="G36" s="3">
        <v>705.1</v>
      </c>
      <c r="H36" s="10">
        <f t="shared" si="5"/>
        <v>881.375</v>
      </c>
      <c r="I36" s="5">
        <v>5</v>
      </c>
      <c r="J36" s="4">
        <v>1</v>
      </c>
      <c r="K36" s="4">
        <v>3</v>
      </c>
      <c r="L36" s="4">
        <v>10</v>
      </c>
      <c r="M36" s="4">
        <v>10</v>
      </c>
      <c r="N36" s="6">
        <f t="shared" si="26"/>
        <v>34369.236396000008</v>
      </c>
      <c r="O36" s="6">
        <f t="shared" si="27"/>
        <v>34043.407596000005</v>
      </c>
      <c r="P36" s="6">
        <f t="shared" si="28"/>
        <v>34206.321996000006</v>
      </c>
      <c r="Q36" s="6">
        <f t="shared" si="29"/>
        <v>34776.522396</v>
      </c>
      <c r="R36" s="6">
        <f t="shared" si="30"/>
        <v>34776.522396</v>
      </c>
      <c r="S36" s="6">
        <f t="shared" si="6"/>
        <v>40399.512911999991</v>
      </c>
      <c r="T36" s="6">
        <f t="shared" si="7"/>
        <v>40073.684112000003</v>
      </c>
      <c r="U36" s="6">
        <f t="shared" si="8"/>
        <v>40236.598512000004</v>
      </c>
      <c r="V36" s="6">
        <f t="shared" si="9"/>
        <v>40806.798912000006</v>
      </c>
      <c r="W36" s="6">
        <f t="shared" si="10"/>
        <v>40806.798912000006</v>
      </c>
      <c r="X36" s="6">
        <f t="shared" si="11"/>
        <v>44552.200968000012</v>
      </c>
      <c r="Y36" s="6">
        <f t="shared" si="12"/>
        <v>44226.372168000002</v>
      </c>
      <c r="Z36" s="6">
        <f t="shared" si="13"/>
        <v>44389.28656800001</v>
      </c>
      <c r="AA36" s="6">
        <f t="shared" si="14"/>
        <v>44959.486968000005</v>
      </c>
      <c r="AB36" s="6">
        <f t="shared" si="15"/>
        <v>44959.486968000005</v>
      </c>
      <c r="AC36" s="6">
        <f t="shared" si="16"/>
        <v>57842.757719999994</v>
      </c>
      <c r="AD36" s="6">
        <f t="shared" si="17"/>
        <v>57516.928919999998</v>
      </c>
      <c r="AE36" s="6">
        <f t="shared" si="18"/>
        <v>57679.84332</v>
      </c>
      <c r="AF36" s="6">
        <f t="shared" si="19"/>
        <v>58250.043720000009</v>
      </c>
      <c r="AG36" s="6">
        <f t="shared" si="20"/>
        <v>58250.043720000009</v>
      </c>
      <c r="AH36" s="6">
        <f t="shared" si="21"/>
        <v>72201.625650000002</v>
      </c>
      <c r="AI36" s="6">
        <f t="shared" si="22"/>
        <v>71875.796849999999</v>
      </c>
      <c r="AJ36" s="6">
        <f t="shared" si="23"/>
        <v>72038.711250000008</v>
      </c>
      <c r="AK36" s="6">
        <f t="shared" si="24"/>
        <v>72608.911649999995</v>
      </c>
      <c r="AL36" s="6">
        <f t="shared" si="25"/>
        <v>72608.911649999995</v>
      </c>
    </row>
    <row r="37" spans="1:38" x14ac:dyDescent="0.35">
      <c r="A37" s="7" t="s">
        <v>0</v>
      </c>
      <c r="B37" s="2" t="s">
        <v>17</v>
      </c>
      <c r="C37" s="3">
        <v>15</v>
      </c>
      <c r="D37" s="3">
        <v>551.41</v>
      </c>
      <c r="E37" s="3">
        <v>640.78</v>
      </c>
      <c r="F37" s="3">
        <v>730.77</v>
      </c>
      <c r="G37" s="3">
        <v>935.44</v>
      </c>
      <c r="H37" s="10">
        <f t="shared" si="5"/>
        <v>1169.3000000000002</v>
      </c>
      <c r="I37" s="5">
        <v>5</v>
      </c>
      <c r="J37" s="4">
        <v>1</v>
      </c>
      <c r="K37" s="4">
        <v>3</v>
      </c>
      <c r="L37" s="4">
        <v>10</v>
      </c>
      <c r="M37" s="4">
        <v>10</v>
      </c>
      <c r="N37" s="6">
        <f t="shared" si="26"/>
        <v>45323.600652000001</v>
      </c>
      <c r="O37" s="6">
        <f t="shared" si="27"/>
        <v>44997.771852000005</v>
      </c>
      <c r="P37" s="6">
        <f t="shared" si="28"/>
        <v>45160.686252</v>
      </c>
      <c r="Q37" s="6">
        <f t="shared" si="29"/>
        <v>45730.886652000001</v>
      </c>
      <c r="R37" s="6">
        <f t="shared" si="30"/>
        <v>45730.886652000001</v>
      </c>
      <c r="S37" s="6">
        <f t="shared" si="6"/>
        <v>52603.430615999998</v>
      </c>
      <c r="T37" s="6">
        <f t="shared" si="7"/>
        <v>52277.601816000002</v>
      </c>
      <c r="U37" s="6">
        <f t="shared" si="8"/>
        <v>52440.516215999996</v>
      </c>
      <c r="V37" s="6">
        <f t="shared" si="9"/>
        <v>53010.716615999998</v>
      </c>
      <c r="W37" s="6">
        <f t="shared" si="10"/>
        <v>53010.716615999998</v>
      </c>
      <c r="X37" s="6">
        <f t="shared" si="11"/>
        <v>59933.764043999996</v>
      </c>
      <c r="Y37" s="6">
        <f t="shared" si="12"/>
        <v>59607.935244</v>
      </c>
      <c r="Z37" s="6">
        <f t="shared" si="13"/>
        <v>59770.849644000002</v>
      </c>
      <c r="AA37" s="6">
        <f t="shared" si="14"/>
        <v>60341.050044000011</v>
      </c>
      <c r="AB37" s="6">
        <f t="shared" si="15"/>
        <v>60341.050044000011</v>
      </c>
      <c r="AC37" s="6">
        <f t="shared" si="16"/>
        <v>76605.60916800001</v>
      </c>
      <c r="AD37" s="6">
        <f t="shared" si="17"/>
        <v>76279.780368000007</v>
      </c>
      <c r="AE37" s="6">
        <f t="shared" si="18"/>
        <v>76442.694768000001</v>
      </c>
      <c r="AF37" s="6">
        <f t="shared" si="19"/>
        <v>77012.895168000003</v>
      </c>
      <c r="AG37" s="6">
        <f t="shared" si="20"/>
        <v>77012.895168000003</v>
      </c>
      <c r="AH37" s="6">
        <f t="shared" si="21"/>
        <v>95655.189960000032</v>
      </c>
      <c r="AI37" s="6">
        <f t="shared" si="22"/>
        <v>95329.361160000044</v>
      </c>
      <c r="AJ37" s="6">
        <f t="shared" si="23"/>
        <v>95492.275560000038</v>
      </c>
      <c r="AK37" s="6">
        <f t="shared" si="24"/>
        <v>96062.475960000025</v>
      </c>
      <c r="AL37" s="6">
        <f t="shared" si="25"/>
        <v>96062.475960000025</v>
      </c>
    </row>
    <row r="38" spans="1:38" x14ac:dyDescent="0.35">
      <c r="A38" s="7" t="s">
        <v>0</v>
      </c>
      <c r="B38" s="2" t="s">
        <v>19</v>
      </c>
      <c r="C38" s="3">
        <v>18.5</v>
      </c>
      <c r="D38" s="3">
        <v>692.01</v>
      </c>
      <c r="E38" s="3">
        <v>856.79</v>
      </c>
      <c r="F38" s="3">
        <v>1002.87</v>
      </c>
      <c r="G38" s="3">
        <v>1232.96</v>
      </c>
      <c r="H38" s="10">
        <f t="shared" si="5"/>
        <v>1541.2</v>
      </c>
      <c r="I38" s="5">
        <v>5</v>
      </c>
      <c r="J38" s="4">
        <v>1</v>
      </c>
      <c r="K38" s="4">
        <v>3</v>
      </c>
      <c r="L38" s="4">
        <v>10</v>
      </c>
      <c r="M38" s="4">
        <v>10</v>
      </c>
      <c r="N38" s="6">
        <f t="shared" si="26"/>
        <v>56776.482971999998</v>
      </c>
      <c r="O38" s="6">
        <f t="shared" si="27"/>
        <v>56450.654172000002</v>
      </c>
      <c r="P38" s="6">
        <f t="shared" si="28"/>
        <v>56613.568572000004</v>
      </c>
      <c r="Q38" s="6">
        <f t="shared" si="29"/>
        <v>57183.768971999998</v>
      </c>
      <c r="R38" s="6">
        <f t="shared" si="30"/>
        <v>57183.768971999998</v>
      </c>
      <c r="S38" s="6">
        <f t="shared" si="6"/>
        <v>70199.000388000015</v>
      </c>
      <c r="T38" s="6">
        <f t="shared" si="7"/>
        <v>69873.171587999997</v>
      </c>
      <c r="U38" s="6">
        <f t="shared" si="8"/>
        <v>70036.085988000006</v>
      </c>
      <c r="V38" s="6">
        <f t="shared" si="9"/>
        <v>70606.286388000008</v>
      </c>
      <c r="W38" s="6">
        <f t="shared" si="10"/>
        <v>70606.286388000008</v>
      </c>
      <c r="X38" s="6">
        <f t="shared" si="11"/>
        <v>82098.268164000023</v>
      </c>
      <c r="Y38" s="6">
        <f t="shared" si="12"/>
        <v>81772.439364000005</v>
      </c>
      <c r="Z38" s="6">
        <f t="shared" si="13"/>
        <v>81935.353764000014</v>
      </c>
      <c r="AA38" s="6">
        <f t="shared" si="14"/>
        <v>82505.554164000001</v>
      </c>
      <c r="AB38" s="6">
        <f t="shared" si="15"/>
        <v>82505.554164000001</v>
      </c>
      <c r="AC38" s="6">
        <f t="shared" si="16"/>
        <v>100840.75531200001</v>
      </c>
      <c r="AD38" s="6">
        <f t="shared" si="17"/>
        <v>100514.92651200001</v>
      </c>
      <c r="AE38" s="6">
        <f t="shared" si="18"/>
        <v>100677.84091200001</v>
      </c>
      <c r="AF38" s="6">
        <f t="shared" si="19"/>
        <v>101248.04131200002</v>
      </c>
      <c r="AG38" s="6">
        <f t="shared" si="20"/>
        <v>101248.04131200002</v>
      </c>
      <c r="AH38" s="6">
        <f t="shared" si="21"/>
        <v>125949.12264000003</v>
      </c>
      <c r="AI38" s="6">
        <f t="shared" si="22"/>
        <v>125623.29384000003</v>
      </c>
      <c r="AJ38" s="6">
        <f t="shared" si="23"/>
        <v>125786.20824000002</v>
      </c>
      <c r="AK38" s="6">
        <f t="shared" si="24"/>
        <v>126356.40864000001</v>
      </c>
      <c r="AL38" s="6">
        <f t="shared" si="25"/>
        <v>126356.40864000001</v>
      </c>
    </row>
    <row r="39" spans="1:38" x14ac:dyDescent="0.35">
      <c r="A39" s="7" t="s">
        <v>0</v>
      </c>
      <c r="B39" s="2" t="s">
        <v>21</v>
      </c>
      <c r="C39" s="3">
        <v>22</v>
      </c>
      <c r="D39" s="3">
        <v>755.58</v>
      </c>
      <c r="E39" s="3">
        <v>868.25</v>
      </c>
      <c r="F39" s="3">
        <v>1008.97</v>
      </c>
      <c r="G39" s="3">
        <v>1246.29</v>
      </c>
      <c r="H39" s="10">
        <f t="shared" si="5"/>
        <v>1557.8625</v>
      </c>
      <c r="I39" s="5">
        <v>5</v>
      </c>
      <c r="J39" s="4">
        <v>1</v>
      </c>
      <c r="K39" s="4">
        <v>3</v>
      </c>
      <c r="L39" s="4">
        <v>10</v>
      </c>
      <c r="M39" s="4">
        <v>10</v>
      </c>
      <c r="N39" s="6">
        <f t="shared" si="26"/>
        <v>61954.717176000027</v>
      </c>
      <c r="O39" s="6">
        <f t="shared" si="27"/>
        <v>61628.888376000017</v>
      </c>
      <c r="P39" s="6">
        <f t="shared" si="28"/>
        <v>61791.802776000019</v>
      </c>
      <c r="Q39" s="6">
        <f t="shared" si="29"/>
        <v>62362.003176000013</v>
      </c>
      <c r="R39" s="6">
        <f t="shared" si="30"/>
        <v>62362.003176000013</v>
      </c>
      <c r="S39" s="6">
        <f t="shared" si="6"/>
        <v>71132.49990000001</v>
      </c>
      <c r="T39" s="6">
        <f t="shared" si="7"/>
        <v>70806.671099999992</v>
      </c>
      <c r="U39" s="6">
        <f t="shared" si="8"/>
        <v>70969.585500000001</v>
      </c>
      <c r="V39" s="6">
        <f t="shared" si="9"/>
        <v>71539.785900000003</v>
      </c>
      <c r="W39" s="6">
        <f t="shared" si="10"/>
        <v>71539.785900000003</v>
      </c>
      <c r="X39" s="6">
        <f t="shared" si="11"/>
        <v>82595.157084000006</v>
      </c>
      <c r="Y39" s="6">
        <f t="shared" si="12"/>
        <v>82269.328284000017</v>
      </c>
      <c r="Z39" s="6">
        <f t="shared" si="13"/>
        <v>82432.242684000012</v>
      </c>
      <c r="AA39" s="6">
        <f t="shared" si="14"/>
        <v>83002.443083999999</v>
      </c>
      <c r="AB39" s="6">
        <f t="shared" si="15"/>
        <v>83002.443083999999</v>
      </c>
      <c r="AC39" s="6">
        <f t="shared" si="16"/>
        <v>101926.57978800002</v>
      </c>
      <c r="AD39" s="6">
        <f t="shared" si="17"/>
        <v>101600.75098800001</v>
      </c>
      <c r="AE39" s="6">
        <f t="shared" si="18"/>
        <v>101763.66538800002</v>
      </c>
      <c r="AF39" s="6">
        <f t="shared" si="19"/>
        <v>102333.86578800001</v>
      </c>
      <c r="AG39" s="6">
        <f t="shared" si="20"/>
        <v>102333.86578800001</v>
      </c>
      <c r="AH39" s="6">
        <f t="shared" si="21"/>
        <v>127306.40323500001</v>
      </c>
      <c r="AI39" s="6">
        <f t="shared" si="22"/>
        <v>126980.57443499999</v>
      </c>
      <c r="AJ39" s="6">
        <f t="shared" si="23"/>
        <v>127143.48883500001</v>
      </c>
      <c r="AK39" s="6">
        <f t="shared" si="24"/>
        <v>127713.68923500003</v>
      </c>
      <c r="AL39" s="6">
        <f t="shared" si="25"/>
        <v>127713.68923500003</v>
      </c>
    </row>
    <row r="40" spans="1:38" x14ac:dyDescent="0.35">
      <c r="A40" s="7" t="s">
        <v>0</v>
      </c>
      <c r="B40" s="2" t="s">
        <v>23</v>
      </c>
      <c r="C40" s="3">
        <v>30</v>
      </c>
      <c r="D40" s="3">
        <v>995.76</v>
      </c>
      <c r="E40" s="3">
        <v>1170.01</v>
      </c>
      <c r="F40" s="3">
        <v>1266.23</v>
      </c>
      <c r="G40" s="3">
        <v>1699.49</v>
      </c>
      <c r="H40" s="10">
        <f t="shared" si="5"/>
        <v>2124.3625000000002</v>
      </c>
      <c r="I40" s="5">
        <v>5</v>
      </c>
      <c r="J40" s="4">
        <v>1</v>
      </c>
      <c r="K40" s="4">
        <v>3</v>
      </c>
      <c r="L40" s="4">
        <v>10</v>
      </c>
      <c r="M40" s="4">
        <v>10</v>
      </c>
      <c r="N40" s="6">
        <f t="shared" si="26"/>
        <v>81519.107472000018</v>
      </c>
      <c r="O40" s="6">
        <f t="shared" si="27"/>
        <v>81193.278672000015</v>
      </c>
      <c r="P40" s="6">
        <f t="shared" si="28"/>
        <v>81356.193072000024</v>
      </c>
      <c r="Q40" s="6">
        <f t="shared" si="29"/>
        <v>81926.393472000011</v>
      </c>
      <c r="R40" s="6">
        <f t="shared" si="30"/>
        <v>81926.393472000011</v>
      </c>
      <c r="S40" s="6">
        <f t="shared" si="6"/>
        <v>95713.024572000024</v>
      </c>
      <c r="T40" s="6">
        <f t="shared" si="7"/>
        <v>95387.195772000006</v>
      </c>
      <c r="U40" s="6">
        <f t="shared" si="8"/>
        <v>95550.11017200003</v>
      </c>
      <c r="V40" s="6">
        <f t="shared" si="9"/>
        <v>96120.310572000017</v>
      </c>
      <c r="W40" s="6">
        <f t="shared" si="10"/>
        <v>96120.310572000017</v>
      </c>
      <c r="X40" s="6">
        <f t="shared" si="11"/>
        <v>103550.83635600001</v>
      </c>
      <c r="Y40" s="6">
        <f t="shared" si="12"/>
        <v>103225.00755600003</v>
      </c>
      <c r="Z40" s="6">
        <f t="shared" si="13"/>
        <v>103387.92195600002</v>
      </c>
      <c r="AA40" s="6">
        <f t="shared" si="14"/>
        <v>103958.12235600001</v>
      </c>
      <c r="AB40" s="6">
        <f t="shared" si="15"/>
        <v>103958.12235600001</v>
      </c>
      <c r="AC40" s="6">
        <f t="shared" si="16"/>
        <v>138842.98282799998</v>
      </c>
      <c r="AD40" s="6">
        <f t="shared" si="17"/>
        <v>138517.15402800002</v>
      </c>
      <c r="AE40" s="6">
        <f t="shared" si="18"/>
        <v>138680.068428</v>
      </c>
      <c r="AF40" s="6">
        <f t="shared" si="19"/>
        <v>139250.268828</v>
      </c>
      <c r="AG40" s="6">
        <f t="shared" si="20"/>
        <v>139250.268828</v>
      </c>
      <c r="AH40" s="6">
        <f t="shared" si="21"/>
        <v>173451.90703500004</v>
      </c>
      <c r="AI40" s="6">
        <f t="shared" si="22"/>
        <v>173126.07823500005</v>
      </c>
      <c r="AJ40" s="6">
        <f t="shared" si="23"/>
        <v>173288.99263500006</v>
      </c>
      <c r="AK40" s="6">
        <f t="shared" si="24"/>
        <v>173859.19303500003</v>
      </c>
      <c r="AL40" s="6">
        <f t="shared" si="25"/>
        <v>173859.19303500003</v>
      </c>
    </row>
    <row r="41" spans="1:38" x14ac:dyDescent="0.35">
      <c r="A41" s="7" t="s">
        <v>0</v>
      </c>
      <c r="B41" s="2" t="s">
        <v>25</v>
      </c>
      <c r="C41" s="3">
        <v>37</v>
      </c>
      <c r="D41" s="3">
        <v>1228.3399999999999</v>
      </c>
      <c r="E41" s="3">
        <v>1466.28</v>
      </c>
      <c r="F41" s="3">
        <v>1648.26</v>
      </c>
      <c r="G41" s="3">
        <v>2106.3200000000002</v>
      </c>
      <c r="H41" s="10">
        <f t="shared" si="5"/>
        <v>2632.9</v>
      </c>
      <c r="I41" s="5">
        <v>5</v>
      </c>
      <c r="J41" s="4">
        <v>1</v>
      </c>
      <c r="K41" s="4">
        <v>3</v>
      </c>
      <c r="L41" s="4">
        <v>10</v>
      </c>
      <c r="M41" s="4">
        <v>10</v>
      </c>
      <c r="N41" s="6">
        <f t="shared" si="26"/>
        <v>100464.423048</v>
      </c>
      <c r="O41" s="6">
        <f t="shared" si="27"/>
        <v>100138.59424799999</v>
      </c>
      <c r="P41" s="6">
        <f t="shared" si="28"/>
        <v>100301.50864799999</v>
      </c>
      <c r="Q41" s="6">
        <f t="shared" si="29"/>
        <v>100871.70904799999</v>
      </c>
      <c r="R41" s="6">
        <f t="shared" si="30"/>
        <v>100871.70904799999</v>
      </c>
      <c r="S41" s="6">
        <f t="shared" si="6"/>
        <v>119846.349216</v>
      </c>
      <c r="T41" s="6">
        <f t="shared" si="7"/>
        <v>119520.52041600001</v>
      </c>
      <c r="U41" s="6">
        <f t="shared" si="8"/>
        <v>119683.43481600001</v>
      </c>
      <c r="V41" s="6">
        <f t="shared" si="9"/>
        <v>120253.635216</v>
      </c>
      <c r="W41" s="6">
        <f t="shared" si="10"/>
        <v>120253.635216</v>
      </c>
      <c r="X41" s="6">
        <f t="shared" si="11"/>
        <v>134669.93047200001</v>
      </c>
      <c r="Y41" s="6">
        <f t="shared" si="12"/>
        <v>134344.10167200002</v>
      </c>
      <c r="Z41" s="6">
        <f t="shared" si="13"/>
        <v>134507.01607200003</v>
      </c>
      <c r="AA41" s="6">
        <f t="shared" si="14"/>
        <v>135077.21647200003</v>
      </c>
      <c r="AB41" s="6">
        <f t="shared" si="15"/>
        <v>135077.21647200003</v>
      </c>
      <c r="AC41" s="6">
        <f t="shared" si="16"/>
        <v>171982.21550400005</v>
      </c>
      <c r="AD41" s="6">
        <f t="shared" si="17"/>
        <v>171656.38670400003</v>
      </c>
      <c r="AE41" s="6">
        <f t="shared" si="18"/>
        <v>171819.30110400004</v>
      </c>
      <c r="AF41" s="6">
        <f t="shared" si="19"/>
        <v>172389.50150400004</v>
      </c>
      <c r="AG41" s="6">
        <f t="shared" si="20"/>
        <v>172389.50150400004</v>
      </c>
      <c r="AH41" s="6">
        <f t="shared" si="21"/>
        <v>214875.94788000002</v>
      </c>
      <c r="AI41" s="6">
        <f t="shared" si="22"/>
        <v>214550.11908000003</v>
      </c>
      <c r="AJ41" s="6">
        <f t="shared" si="23"/>
        <v>214713.03348000001</v>
      </c>
      <c r="AK41" s="6">
        <f t="shared" si="24"/>
        <v>215283.23388000001</v>
      </c>
      <c r="AL41" s="6">
        <f t="shared" si="25"/>
        <v>215283.23388000001</v>
      </c>
    </row>
    <row r="42" spans="1:38" x14ac:dyDescent="0.35">
      <c r="A42" s="7" t="s">
        <v>0</v>
      </c>
      <c r="B42" s="2" t="s">
        <v>27</v>
      </c>
      <c r="C42" s="3">
        <v>45</v>
      </c>
      <c r="D42" s="3">
        <v>1650.38</v>
      </c>
      <c r="E42" s="3">
        <v>1842.45</v>
      </c>
      <c r="F42" s="3">
        <v>2077.9</v>
      </c>
      <c r="G42" s="3">
        <v>2646.27</v>
      </c>
      <c r="H42" s="10">
        <f t="shared" si="5"/>
        <v>3307.8375000000001</v>
      </c>
      <c r="I42" s="5">
        <v>5</v>
      </c>
      <c r="J42" s="4">
        <v>1</v>
      </c>
      <c r="K42" s="4">
        <v>3</v>
      </c>
      <c r="L42" s="4">
        <v>10</v>
      </c>
      <c r="M42" s="4">
        <v>10</v>
      </c>
      <c r="N42" s="6">
        <f t="shared" si="26"/>
        <v>134842.61973600002</v>
      </c>
      <c r="O42" s="6">
        <f t="shared" si="27"/>
        <v>134516.790936</v>
      </c>
      <c r="P42" s="6">
        <f t="shared" si="28"/>
        <v>134679.70533599998</v>
      </c>
      <c r="Q42" s="6">
        <f t="shared" si="29"/>
        <v>135249.90573600004</v>
      </c>
      <c r="R42" s="6">
        <f t="shared" si="30"/>
        <v>135249.90573600004</v>
      </c>
      <c r="S42" s="6">
        <f t="shared" si="6"/>
        <v>150488.10413999998</v>
      </c>
      <c r="T42" s="6">
        <f t="shared" si="7"/>
        <v>150162.27534000002</v>
      </c>
      <c r="U42" s="6">
        <f t="shared" si="8"/>
        <v>150325.18974000003</v>
      </c>
      <c r="V42" s="6">
        <f t="shared" si="9"/>
        <v>150895.39014</v>
      </c>
      <c r="W42" s="6">
        <f t="shared" si="10"/>
        <v>150895.39014</v>
      </c>
      <c r="X42" s="6">
        <f t="shared" si="11"/>
        <v>169667.20188000001</v>
      </c>
      <c r="Y42" s="6">
        <f t="shared" si="12"/>
        <v>169341.37308000002</v>
      </c>
      <c r="Z42" s="6">
        <f t="shared" si="13"/>
        <v>169504.28748000003</v>
      </c>
      <c r="AA42" s="6">
        <f t="shared" si="14"/>
        <v>170074.48788</v>
      </c>
      <c r="AB42" s="6">
        <f t="shared" si="15"/>
        <v>170074.48788</v>
      </c>
      <c r="AC42" s="6">
        <f t="shared" si="16"/>
        <v>215965.03064400001</v>
      </c>
      <c r="AD42" s="6">
        <f t="shared" si="17"/>
        <v>215639.20184400005</v>
      </c>
      <c r="AE42" s="6">
        <f t="shared" si="18"/>
        <v>215802.11624400006</v>
      </c>
      <c r="AF42" s="6">
        <f t="shared" si="19"/>
        <v>216372.31664400004</v>
      </c>
      <c r="AG42" s="6">
        <f t="shared" si="20"/>
        <v>216372.31664400004</v>
      </c>
      <c r="AH42" s="6">
        <f t="shared" si="21"/>
        <v>269854.46680499997</v>
      </c>
      <c r="AI42" s="6">
        <f t="shared" si="22"/>
        <v>269528.63800500002</v>
      </c>
      <c r="AJ42" s="6">
        <f t="shared" si="23"/>
        <v>269691.55240500002</v>
      </c>
      <c r="AK42" s="6">
        <f t="shared" si="24"/>
        <v>270261.752805</v>
      </c>
      <c r="AL42" s="6">
        <f t="shared" si="25"/>
        <v>270261.752805</v>
      </c>
    </row>
    <row r="43" spans="1:38" x14ac:dyDescent="0.35">
      <c r="A43" s="7" t="s">
        <v>0</v>
      </c>
      <c r="B43" s="2" t="s">
        <v>29</v>
      </c>
      <c r="C43" s="3">
        <v>55</v>
      </c>
      <c r="D43" s="3">
        <v>1892.43</v>
      </c>
      <c r="E43" s="3">
        <v>2075.2800000000002</v>
      </c>
      <c r="F43" s="3">
        <v>2356.1</v>
      </c>
      <c r="G43" s="3">
        <v>3001.37</v>
      </c>
      <c r="H43" s="10">
        <f t="shared" si="5"/>
        <v>3751.7124999999996</v>
      </c>
      <c r="I43" s="5">
        <v>5</v>
      </c>
      <c r="J43" s="4">
        <v>1</v>
      </c>
      <c r="K43" s="4">
        <v>3</v>
      </c>
      <c r="L43" s="4">
        <v>10</v>
      </c>
      <c r="M43" s="4">
        <v>10</v>
      </c>
      <c r="N43" s="6">
        <f t="shared" si="26"/>
        <v>154559.33499600002</v>
      </c>
      <c r="O43" s="6">
        <f t="shared" si="27"/>
        <v>154233.50619600003</v>
      </c>
      <c r="P43" s="6">
        <f t="shared" si="28"/>
        <v>154396.42059600004</v>
      </c>
      <c r="Q43" s="6">
        <f t="shared" si="29"/>
        <v>154966.62099600001</v>
      </c>
      <c r="R43" s="6">
        <f t="shared" si="30"/>
        <v>154966.62099600001</v>
      </c>
      <c r="S43" s="6">
        <f t="shared" si="6"/>
        <v>169453.78401600005</v>
      </c>
      <c r="T43" s="6">
        <f t="shared" si="7"/>
        <v>169127.955216</v>
      </c>
      <c r="U43" s="6">
        <f t="shared" si="8"/>
        <v>169290.86961600004</v>
      </c>
      <c r="V43" s="6">
        <f t="shared" si="9"/>
        <v>169861.07001600004</v>
      </c>
      <c r="W43" s="6">
        <f t="shared" si="10"/>
        <v>169861.07001600004</v>
      </c>
      <c r="X43" s="6">
        <f t="shared" si="11"/>
        <v>192328.59492000003</v>
      </c>
      <c r="Y43" s="6">
        <f t="shared" si="12"/>
        <v>192002.76612000004</v>
      </c>
      <c r="Z43" s="6">
        <f t="shared" si="13"/>
        <v>192165.68052000005</v>
      </c>
      <c r="AA43" s="6">
        <f t="shared" si="14"/>
        <v>192735.88092000003</v>
      </c>
      <c r="AB43" s="6">
        <f t="shared" si="15"/>
        <v>192735.88092000003</v>
      </c>
      <c r="AC43" s="6">
        <f t="shared" si="16"/>
        <v>244890.482364</v>
      </c>
      <c r="AD43" s="6">
        <f t="shared" si="17"/>
        <v>244564.65356400004</v>
      </c>
      <c r="AE43" s="6">
        <f t="shared" si="18"/>
        <v>244727.56796399996</v>
      </c>
      <c r="AF43" s="6">
        <f t="shared" si="19"/>
        <v>245297.76836399999</v>
      </c>
      <c r="AG43" s="6">
        <f t="shared" si="20"/>
        <v>245297.76836399999</v>
      </c>
      <c r="AH43" s="6">
        <f t="shared" si="21"/>
        <v>306011.28145499993</v>
      </c>
      <c r="AI43" s="6">
        <f t="shared" si="22"/>
        <v>305685.45265499997</v>
      </c>
      <c r="AJ43" s="6">
        <f t="shared" si="23"/>
        <v>305848.36705500004</v>
      </c>
      <c r="AK43" s="6">
        <f t="shared" si="24"/>
        <v>306418.56745499995</v>
      </c>
      <c r="AL43" s="6">
        <f t="shared" si="25"/>
        <v>306418.56745499995</v>
      </c>
    </row>
    <row r="44" spans="1:38" x14ac:dyDescent="0.35">
      <c r="A44" s="7" t="s">
        <v>0</v>
      </c>
      <c r="B44" s="2" t="s">
        <v>31</v>
      </c>
      <c r="C44" s="3">
        <v>0.75</v>
      </c>
      <c r="D44" s="3">
        <v>57.96</v>
      </c>
      <c r="E44" s="3">
        <v>84.01</v>
      </c>
      <c r="F44" s="3">
        <v>97.1</v>
      </c>
      <c r="G44" s="3">
        <v>125.14</v>
      </c>
      <c r="H44" s="10">
        <f t="shared" si="5"/>
        <v>156.42500000000001</v>
      </c>
      <c r="I44" s="5">
        <v>5</v>
      </c>
      <c r="J44" s="4">
        <v>1</v>
      </c>
      <c r="K44" s="4">
        <v>3</v>
      </c>
      <c r="L44" s="4">
        <v>10</v>
      </c>
      <c r="M44" s="4">
        <v>10</v>
      </c>
      <c r="N44" s="6">
        <f t="shared" si="26"/>
        <v>5128.5453119999993</v>
      </c>
      <c r="O44" s="6">
        <f t="shared" si="27"/>
        <v>4802.716512</v>
      </c>
      <c r="P44" s="6">
        <f t="shared" si="28"/>
        <v>4965.6309120000005</v>
      </c>
      <c r="Q44" s="6">
        <f t="shared" si="29"/>
        <v>5535.8313120000012</v>
      </c>
      <c r="R44" s="6">
        <f t="shared" si="30"/>
        <v>5535.8313120000012</v>
      </c>
      <c r="S44" s="6">
        <f t="shared" si="6"/>
        <v>7250.5053720000014</v>
      </c>
      <c r="T44" s="6">
        <f t="shared" si="7"/>
        <v>6924.6765720000012</v>
      </c>
      <c r="U44" s="6">
        <f t="shared" si="8"/>
        <v>7087.5909720000009</v>
      </c>
      <c r="V44" s="6">
        <f t="shared" si="9"/>
        <v>7657.7913720000015</v>
      </c>
      <c r="W44" s="6">
        <f t="shared" si="10"/>
        <v>7657.7913720000015</v>
      </c>
      <c r="X44" s="6">
        <f t="shared" si="11"/>
        <v>8316.7801199999994</v>
      </c>
      <c r="Y44" s="6">
        <f t="shared" si="12"/>
        <v>7990.951320000001</v>
      </c>
      <c r="Z44" s="6">
        <f t="shared" si="13"/>
        <v>8153.8657199999998</v>
      </c>
      <c r="AA44" s="6">
        <f t="shared" si="14"/>
        <v>8724.0661199999995</v>
      </c>
      <c r="AB44" s="6">
        <f t="shared" si="15"/>
        <v>8724.0661199999995</v>
      </c>
      <c r="AC44" s="6">
        <f t="shared" si="16"/>
        <v>10600.840008000001</v>
      </c>
      <c r="AD44" s="6">
        <f t="shared" si="17"/>
        <v>10275.011208000002</v>
      </c>
      <c r="AE44" s="6">
        <f t="shared" si="18"/>
        <v>10437.925608000001</v>
      </c>
      <c r="AF44" s="6">
        <f t="shared" si="19"/>
        <v>11008.126008000001</v>
      </c>
      <c r="AG44" s="6">
        <f t="shared" si="20"/>
        <v>11008.126008000001</v>
      </c>
      <c r="AH44" s="6">
        <f t="shared" si="21"/>
        <v>13149.228510000003</v>
      </c>
      <c r="AI44" s="6">
        <f t="shared" si="22"/>
        <v>12823.399710000003</v>
      </c>
      <c r="AJ44" s="6">
        <f t="shared" si="23"/>
        <v>12986.314110000003</v>
      </c>
      <c r="AK44" s="6">
        <f t="shared" si="24"/>
        <v>13556.514510000003</v>
      </c>
      <c r="AL44" s="6">
        <f t="shared" si="25"/>
        <v>13556.514510000003</v>
      </c>
    </row>
    <row r="45" spans="1:38" x14ac:dyDescent="0.35">
      <c r="A45" s="7" t="s">
        <v>0</v>
      </c>
      <c r="B45" s="2" t="s">
        <v>33</v>
      </c>
      <c r="C45" s="3">
        <v>1.1000000000000001</v>
      </c>
      <c r="D45" s="3">
        <v>65.44</v>
      </c>
      <c r="E45" s="3">
        <v>92.11</v>
      </c>
      <c r="F45" s="3">
        <v>100.71</v>
      </c>
      <c r="G45" s="3">
        <v>132.62</v>
      </c>
      <c r="H45" s="10">
        <f t="shared" si="5"/>
        <v>165.77500000000001</v>
      </c>
      <c r="I45" s="5">
        <v>5</v>
      </c>
      <c r="J45" s="4">
        <v>1</v>
      </c>
      <c r="K45" s="4">
        <v>3</v>
      </c>
      <c r="L45" s="4">
        <v>10</v>
      </c>
      <c r="M45" s="4">
        <v>10</v>
      </c>
      <c r="N45" s="6">
        <f t="shared" si="26"/>
        <v>5737.8451680000007</v>
      </c>
      <c r="O45" s="6">
        <f t="shared" si="27"/>
        <v>5412.0163680000014</v>
      </c>
      <c r="P45" s="6">
        <f t="shared" si="28"/>
        <v>5574.9307680000011</v>
      </c>
      <c r="Q45" s="6">
        <f t="shared" si="29"/>
        <v>6145.1311679999999</v>
      </c>
      <c r="R45" s="6">
        <f t="shared" si="30"/>
        <v>6145.1311679999999</v>
      </c>
      <c r="S45" s="6">
        <f t="shared" si="6"/>
        <v>7910.3086920000005</v>
      </c>
      <c r="T45" s="6">
        <f t="shared" si="7"/>
        <v>7584.4798920000003</v>
      </c>
      <c r="U45" s="6">
        <f t="shared" si="8"/>
        <v>7747.3942920000009</v>
      </c>
      <c r="V45" s="6">
        <f t="shared" si="9"/>
        <v>8317.5946920000024</v>
      </c>
      <c r="W45" s="6">
        <f t="shared" si="10"/>
        <v>8317.5946920000024</v>
      </c>
      <c r="X45" s="6">
        <f t="shared" si="11"/>
        <v>8610.8406120000018</v>
      </c>
      <c r="Y45" s="6">
        <f t="shared" si="12"/>
        <v>8285.0118120000006</v>
      </c>
      <c r="Z45" s="6">
        <f t="shared" si="13"/>
        <v>8447.9262120000003</v>
      </c>
      <c r="AA45" s="6">
        <f t="shared" si="14"/>
        <v>9018.126612</v>
      </c>
      <c r="AB45" s="6">
        <f t="shared" si="15"/>
        <v>9018.126612</v>
      </c>
      <c r="AC45" s="6">
        <f t="shared" si="16"/>
        <v>11210.139864000001</v>
      </c>
      <c r="AD45" s="6">
        <f t="shared" si="17"/>
        <v>10884.311064000001</v>
      </c>
      <c r="AE45" s="6">
        <f t="shared" si="18"/>
        <v>11047.225464000001</v>
      </c>
      <c r="AF45" s="6">
        <f t="shared" si="19"/>
        <v>11617.425864000001</v>
      </c>
      <c r="AG45" s="6">
        <f t="shared" si="20"/>
        <v>11617.425864000001</v>
      </c>
      <c r="AH45" s="6">
        <f t="shared" si="21"/>
        <v>13910.853330000002</v>
      </c>
      <c r="AI45" s="6">
        <f t="shared" si="22"/>
        <v>13585.024530000001</v>
      </c>
      <c r="AJ45" s="6">
        <f t="shared" si="23"/>
        <v>13747.93893</v>
      </c>
      <c r="AK45" s="6">
        <f t="shared" si="24"/>
        <v>14318.13933</v>
      </c>
      <c r="AL45" s="6">
        <f t="shared" si="25"/>
        <v>14318.13933</v>
      </c>
    </row>
    <row r="46" spans="1:38" x14ac:dyDescent="0.35">
      <c r="A46" s="7" t="s">
        <v>0</v>
      </c>
      <c r="B46" s="2" t="s">
        <v>35</v>
      </c>
      <c r="C46" s="3">
        <v>1.5</v>
      </c>
      <c r="D46" s="3">
        <v>77.03</v>
      </c>
      <c r="E46" s="3">
        <v>105.2</v>
      </c>
      <c r="F46" s="3">
        <v>117.91</v>
      </c>
      <c r="G46" s="3">
        <v>151.94</v>
      </c>
      <c r="H46" s="10">
        <f t="shared" si="5"/>
        <v>189.92500000000001</v>
      </c>
      <c r="I46" s="5">
        <v>5</v>
      </c>
      <c r="J46" s="4">
        <v>1</v>
      </c>
      <c r="K46" s="4">
        <v>3</v>
      </c>
      <c r="L46" s="4">
        <v>10</v>
      </c>
      <c r="M46" s="4">
        <v>10</v>
      </c>
      <c r="N46" s="6">
        <f t="shared" si="26"/>
        <v>6681.9341160000013</v>
      </c>
      <c r="O46" s="6">
        <f t="shared" si="27"/>
        <v>6356.105316000001</v>
      </c>
      <c r="P46" s="6">
        <f t="shared" si="28"/>
        <v>6519.0197160000007</v>
      </c>
      <c r="Q46" s="6">
        <f t="shared" si="29"/>
        <v>7089.2201160000004</v>
      </c>
      <c r="R46" s="6">
        <f t="shared" si="30"/>
        <v>7089.2201160000004</v>
      </c>
      <c r="S46" s="6">
        <f t="shared" si="6"/>
        <v>8976.5834400000003</v>
      </c>
      <c r="T46" s="6">
        <f t="shared" si="7"/>
        <v>8650.754640000001</v>
      </c>
      <c r="U46" s="6">
        <f t="shared" si="8"/>
        <v>8813.6690400000007</v>
      </c>
      <c r="V46" s="6">
        <f t="shared" si="9"/>
        <v>9383.8694400000004</v>
      </c>
      <c r="W46" s="6">
        <f t="shared" si="10"/>
        <v>9383.8694400000004</v>
      </c>
      <c r="X46" s="6">
        <f t="shared" si="11"/>
        <v>10011.904451999999</v>
      </c>
      <c r="Y46" s="6">
        <f t="shared" si="12"/>
        <v>9686.0756519999995</v>
      </c>
      <c r="Z46" s="6">
        <f t="shared" si="13"/>
        <v>9848.990052000001</v>
      </c>
      <c r="AA46" s="6">
        <f t="shared" si="14"/>
        <v>10419.190451999999</v>
      </c>
      <c r="AB46" s="6">
        <f t="shared" si="15"/>
        <v>10419.190451999999</v>
      </c>
      <c r="AC46" s="6">
        <f t="shared" si="16"/>
        <v>12783.892968</v>
      </c>
      <c r="AD46" s="6">
        <f t="shared" si="17"/>
        <v>12458.064167999999</v>
      </c>
      <c r="AE46" s="6">
        <f t="shared" si="18"/>
        <v>12620.978568</v>
      </c>
      <c r="AF46" s="6">
        <f t="shared" si="19"/>
        <v>13191.178968</v>
      </c>
      <c r="AG46" s="6">
        <f t="shared" si="20"/>
        <v>13191.178968</v>
      </c>
      <c r="AH46" s="6">
        <f t="shared" si="21"/>
        <v>15878.044710000002</v>
      </c>
      <c r="AI46" s="6">
        <f t="shared" si="22"/>
        <v>15552.215910000004</v>
      </c>
      <c r="AJ46" s="6">
        <f t="shared" si="23"/>
        <v>15715.130310000004</v>
      </c>
      <c r="AK46" s="6">
        <f t="shared" si="24"/>
        <v>16285.330710000002</v>
      </c>
      <c r="AL46" s="6">
        <f t="shared" si="25"/>
        <v>16285.330710000002</v>
      </c>
    </row>
    <row r="47" spans="1:38" x14ac:dyDescent="0.35">
      <c r="A47" s="7" t="s">
        <v>0</v>
      </c>
      <c r="B47" s="2" t="s">
        <v>37</v>
      </c>
      <c r="C47" s="3">
        <v>2.2000000000000002</v>
      </c>
      <c r="D47" s="3">
        <v>89.12</v>
      </c>
      <c r="E47" s="3">
        <v>115.17</v>
      </c>
      <c r="F47" s="3">
        <v>128.88</v>
      </c>
      <c r="G47" s="3">
        <v>163.16</v>
      </c>
      <c r="H47" s="10">
        <f t="shared" si="5"/>
        <v>203.95</v>
      </c>
      <c r="I47" s="5">
        <v>5</v>
      </c>
      <c r="J47" s="4">
        <v>1</v>
      </c>
      <c r="K47" s="4">
        <v>3</v>
      </c>
      <c r="L47" s="4">
        <v>10</v>
      </c>
      <c r="M47" s="4">
        <v>10</v>
      </c>
      <c r="N47" s="6">
        <f t="shared" si="26"/>
        <v>7666.7516640000022</v>
      </c>
      <c r="O47" s="6">
        <f t="shared" si="27"/>
        <v>7340.9228639999992</v>
      </c>
      <c r="P47" s="6">
        <f t="shared" si="28"/>
        <v>7503.8372639999998</v>
      </c>
      <c r="Q47" s="6">
        <f t="shared" si="29"/>
        <v>8074.0376640000022</v>
      </c>
      <c r="R47" s="6">
        <f t="shared" si="30"/>
        <v>8074.0376640000022</v>
      </c>
      <c r="S47" s="6">
        <f t="shared" si="6"/>
        <v>9788.7117240000007</v>
      </c>
      <c r="T47" s="6">
        <f t="shared" si="7"/>
        <v>9462.8829240000014</v>
      </c>
      <c r="U47" s="6">
        <f t="shared" si="8"/>
        <v>9625.7973240000028</v>
      </c>
      <c r="V47" s="6">
        <f t="shared" si="9"/>
        <v>10195.997724000001</v>
      </c>
      <c r="W47" s="6">
        <f t="shared" si="10"/>
        <v>10195.997724000001</v>
      </c>
      <c r="X47" s="6">
        <f t="shared" si="11"/>
        <v>10905.489936</v>
      </c>
      <c r="Y47" s="6">
        <f t="shared" si="12"/>
        <v>10579.661136000001</v>
      </c>
      <c r="Z47" s="6">
        <f t="shared" si="13"/>
        <v>10742.575536000002</v>
      </c>
      <c r="AA47" s="6">
        <f t="shared" si="14"/>
        <v>11312.775936</v>
      </c>
      <c r="AB47" s="6">
        <f t="shared" si="15"/>
        <v>11312.775936</v>
      </c>
      <c r="AC47" s="6">
        <f t="shared" si="16"/>
        <v>13697.842752000002</v>
      </c>
      <c r="AD47" s="6">
        <f t="shared" si="17"/>
        <v>13372.013951999999</v>
      </c>
      <c r="AE47" s="6">
        <f t="shared" si="18"/>
        <v>13534.928352000001</v>
      </c>
      <c r="AF47" s="6">
        <f t="shared" si="19"/>
        <v>14105.128752000001</v>
      </c>
      <c r="AG47" s="6">
        <f t="shared" si="20"/>
        <v>14105.128752000001</v>
      </c>
      <c r="AH47" s="6">
        <f t="shared" si="21"/>
        <v>17020.481939999998</v>
      </c>
      <c r="AI47" s="6">
        <f t="shared" si="22"/>
        <v>16694.653139999999</v>
      </c>
      <c r="AJ47" s="6">
        <f t="shared" si="23"/>
        <v>16857.56754</v>
      </c>
      <c r="AK47" s="6">
        <f t="shared" si="24"/>
        <v>17427.767940000002</v>
      </c>
      <c r="AL47" s="6">
        <f t="shared" si="25"/>
        <v>17427.767940000002</v>
      </c>
    </row>
    <row r="48" spans="1:38" x14ac:dyDescent="0.35">
      <c r="A48" s="7" t="s">
        <v>0</v>
      </c>
      <c r="B48" s="2" t="s">
        <v>39</v>
      </c>
      <c r="C48" s="3">
        <v>3</v>
      </c>
      <c r="D48" s="3">
        <v>135.49</v>
      </c>
      <c r="E48" s="3">
        <v>163.28</v>
      </c>
      <c r="F48" s="3">
        <v>188.71</v>
      </c>
      <c r="G48" s="3">
        <v>230.34</v>
      </c>
      <c r="H48" s="10">
        <f t="shared" si="5"/>
        <v>287.92500000000001</v>
      </c>
      <c r="I48" s="5">
        <v>5</v>
      </c>
      <c r="J48" s="4">
        <v>1</v>
      </c>
      <c r="K48" s="4">
        <v>3</v>
      </c>
      <c r="L48" s="4">
        <v>10</v>
      </c>
      <c r="M48" s="4">
        <v>10</v>
      </c>
      <c r="N48" s="6">
        <f t="shared" si="26"/>
        <v>11443.922028000003</v>
      </c>
      <c r="O48" s="6">
        <f t="shared" si="27"/>
        <v>11118.093228000002</v>
      </c>
      <c r="P48" s="6">
        <f t="shared" si="28"/>
        <v>11281.007628000001</v>
      </c>
      <c r="Q48" s="6">
        <f t="shared" si="29"/>
        <v>11851.208028000001</v>
      </c>
      <c r="R48" s="6">
        <f t="shared" si="30"/>
        <v>11851.208028000001</v>
      </c>
      <c r="S48" s="6">
        <f t="shared" si="6"/>
        <v>13707.617616000003</v>
      </c>
      <c r="T48" s="6">
        <f t="shared" si="7"/>
        <v>13381.788816000002</v>
      </c>
      <c r="U48" s="6">
        <f t="shared" si="8"/>
        <v>13544.703216</v>
      </c>
      <c r="V48" s="6">
        <f t="shared" si="9"/>
        <v>14114.903616000001</v>
      </c>
      <c r="W48" s="6">
        <f t="shared" si="10"/>
        <v>14114.903616000001</v>
      </c>
      <c r="X48" s="6">
        <f t="shared" si="11"/>
        <v>15779.074212000001</v>
      </c>
      <c r="Y48" s="6">
        <f t="shared" si="12"/>
        <v>15453.245412000004</v>
      </c>
      <c r="Z48" s="6">
        <f t="shared" si="13"/>
        <v>15616.159812000004</v>
      </c>
      <c r="AA48" s="6">
        <f t="shared" si="14"/>
        <v>16186.360212000001</v>
      </c>
      <c r="AB48" s="6">
        <f t="shared" si="15"/>
        <v>16186.360212000001</v>
      </c>
      <c r="AC48" s="6">
        <f t="shared" si="16"/>
        <v>19170.137448000001</v>
      </c>
      <c r="AD48" s="6">
        <f t="shared" si="17"/>
        <v>18844.308648000002</v>
      </c>
      <c r="AE48" s="6">
        <f t="shared" si="18"/>
        <v>19007.223048</v>
      </c>
      <c r="AF48" s="6">
        <f t="shared" si="19"/>
        <v>19577.423448000001</v>
      </c>
      <c r="AG48" s="6">
        <f t="shared" si="20"/>
        <v>19577.423448000001</v>
      </c>
      <c r="AH48" s="6">
        <f t="shared" si="21"/>
        <v>23860.850310000002</v>
      </c>
      <c r="AI48" s="6">
        <f t="shared" si="22"/>
        <v>23535.021510000002</v>
      </c>
      <c r="AJ48" s="6">
        <f t="shared" si="23"/>
        <v>23697.935910000004</v>
      </c>
      <c r="AK48" s="6">
        <f t="shared" si="24"/>
        <v>24268.136310000002</v>
      </c>
      <c r="AL48" s="6">
        <f t="shared" si="25"/>
        <v>24268.136310000002</v>
      </c>
    </row>
    <row r="49" spans="1:38" x14ac:dyDescent="0.35">
      <c r="A49" s="7" t="s">
        <v>0</v>
      </c>
      <c r="B49" s="2" t="s">
        <v>41</v>
      </c>
      <c r="C49" s="3">
        <v>4</v>
      </c>
      <c r="D49" s="3">
        <v>159.79</v>
      </c>
      <c r="E49" s="3">
        <v>198.8</v>
      </c>
      <c r="F49" s="3">
        <v>220.12</v>
      </c>
      <c r="G49" s="3">
        <v>273.58999999999997</v>
      </c>
      <c r="H49" s="10">
        <f t="shared" si="5"/>
        <v>341.98749999999995</v>
      </c>
      <c r="I49" s="5">
        <v>5</v>
      </c>
      <c r="J49" s="4">
        <v>1</v>
      </c>
      <c r="K49" s="4">
        <v>3</v>
      </c>
      <c r="L49" s="4">
        <v>10</v>
      </c>
      <c r="M49" s="4">
        <v>10</v>
      </c>
      <c r="N49" s="6">
        <f t="shared" si="26"/>
        <v>13423.331988000002</v>
      </c>
      <c r="O49" s="6">
        <f t="shared" si="27"/>
        <v>13097.503188000002</v>
      </c>
      <c r="P49" s="6">
        <f t="shared" si="28"/>
        <v>13260.417588</v>
      </c>
      <c r="Q49" s="6">
        <f t="shared" si="29"/>
        <v>13830.617988000002</v>
      </c>
      <c r="R49" s="6">
        <f t="shared" si="30"/>
        <v>13830.617988000002</v>
      </c>
      <c r="S49" s="6">
        <f t="shared" si="6"/>
        <v>16600.977360000004</v>
      </c>
      <c r="T49" s="6">
        <f t="shared" si="7"/>
        <v>16275.148560000005</v>
      </c>
      <c r="U49" s="6">
        <f t="shared" si="8"/>
        <v>16438.062960000003</v>
      </c>
      <c r="V49" s="6">
        <f t="shared" si="9"/>
        <v>17008.263360000004</v>
      </c>
      <c r="W49" s="6">
        <f t="shared" si="10"/>
        <v>17008.263360000004</v>
      </c>
      <c r="X49" s="6">
        <f t="shared" si="11"/>
        <v>18337.644864000005</v>
      </c>
      <c r="Y49" s="6">
        <f t="shared" si="12"/>
        <v>18011.816064000002</v>
      </c>
      <c r="Z49" s="6">
        <f t="shared" si="13"/>
        <v>18174.730464000004</v>
      </c>
      <c r="AA49" s="6">
        <f t="shared" si="14"/>
        <v>18744.930864000005</v>
      </c>
      <c r="AB49" s="6">
        <f t="shared" si="15"/>
        <v>18744.930864000005</v>
      </c>
      <c r="AC49" s="6">
        <f t="shared" si="16"/>
        <v>22693.161348000001</v>
      </c>
      <c r="AD49" s="6">
        <f t="shared" si="17"/>
        <v>22367.332548000002</v>
      </c>
      <c r="AE49" s="6">
        <f t="shared" si="18"/>
        <v>22530.246948000004</v>
      </c>
      <c r="AF49" s="6">
        <f t="shared" si="19"/>
        <v>23100.447348000005</v>
      </c>
      <c r="AG49" s="6">
        <f t="shared" si="20"/>
        <v>23100.447348000005</v>
      </c>
      <c r="AH49" s="6">
        <f t="shared" si="21"/>
        <v>28264.630184999991</v>
      </c>
      <c r="AI49" s="6">
        <f t="shared" si="22"/>
        <v>27938.801384999995</v>
      </c>
      <c r="AJ49" s="6">
        <f t="shared" si="23"/>
        <v>28101.715785</v>
      </c>
      <c r="AK49" s="6">
        <f t="shared" si="24"/>
        <v>28671.916184999995</v>
      </c>
      <c r="AL49" s="6">
        <f t="shared" si="25"/>
        <v>28671.916184999995</v>
      </c>
    </row>
    <row r="50" spans="1:38" x14ac:dyDescent="0.35">
      <c r="A50" s="7" t="s">
        <v>0</v>
      </c>
      <c r="B50" s="2" t="s">
        <v>43</v>
      </c>
      <c r="C50" s="3">
        <v>5.5</v>
      </c>
      <c r="D50" s="3">
        <v>224.48</v>
      </c>
      <c r="E50" s="3">
        <v>274.45999999999998</v>
      </c>
      <c r="F50" s="3">
        <v>296.89999999999998</v>
      </c>
      <c r="G50" s="3">
        <v>375.92</v>
      </c>
      <c r="H50" s="10">
        <f t="shared" si="5"/>
        <v>469.90000000000003</v>
      </c>
      <c r="I50" s="5">
        <v>5</v>
      </c>
      <c r="J50" s="4">
        <v>1</v>
      </c>
      <c r="K50" s="4">
        <v>3</v>
      </c>
      <c r="L50" s="4">
        <v>10</v>
      </c>
      <c r="M50" s="4">
        <v>10</v>
      </c>
      <c r="N50" s="6">
        <f t="shared" si="26"/>
        <v>18692.798255999998</v>
      </c>
      <c r="O50" s="6">
        <f t="shared" si="27"/>
        <v>18366.969455999999</v>
      </c>
      <c r="P50" s="6">
        <f t="shared" si="28"/>
        <v>18529.883856</v>
      </c>
      <c r="Q50" s="6">
        <f t="shared" si="29"/>
        <v>19100.084256000002</v>
      </c>
      <c r="R50" s="6">
        <f t="shared" si="30"/>
        <v>19100.084256000002</v>
      </c>
      <c r="S50" s="6">
        <f t="shared" si="6"/>
        <v>22764.029112</v>
      </c>
      <c r="T50" s="6">
        <f t="shared" si="7"/>
        <v>22438.200311999997</v>
      </c>
      <c r="U50" s="6">
        <f t="shared" si="8"/>
        <v>22601.114711999999</v>
      </c>
      <c r="V50" s="6">
        <f t="shared" si="9"/>
        <v>23171.315112</v>
      </c>
      <c r="W50" s="6">
        <f t="shared" si="10"/>
        <v>23171.315112</v>
      </c>
      <c r="X50" s="6">
        <f t="shared" si="11"/>
        <v>24591.928680000001</v>
      </c>
      <c r="Y50" s="6">
        <f t="shared" si="12"/>
        <v>24266.099880000002</v>
      </c>
      <c r="Z50" s="6">
        <f t="shared" si="13"/>
        <v>24429.014279999996</v>
      </c>
      <c r="AA50" s="6">
        <f t="shared" si="14"/>
        <v>24999.214679999997</v>
      </c>
      <c r="AB50" s="6">
        <f t="shared" si="15"/>
        <v>24999.214679999997</v>
      </c>
      <c r="AC50" s="6">
        <f t="shared" si="16"/>
        <v>31028.676624000007</v>
      </c>
      <c r="AD50" s="6">
        <f t="shared" si="17"/>
        <v>30702.847824000004</v>
      </c>
      <c r="AE50" s="6">
        <f t="shared" si="18"/>
        <v>30865.762224000009</v>
      </c>
      <c r="AF50" s="6">
        <f t="shared" si="19"/>
        <v>31435.962624000003</v>
      </c>
      <c r="AG50" s="6">
        <f t="shared" si="20"/>
        <v>31435.962624000003</v>
      </c>
      <c r="AH50" s="6">
        <f t="shared" si="21"/>
        <v>38684.024280000005</v>
      </c>
      <c r="AI50" s="6">
        <f t="shared" si="22"/>
        <v>38358.195480000009</v>
      </c>
      <c r="AJ50" s="6">
        <f t="shared" si="23"/>
        <v>38521.109880000004</v>
      </c>
      <c r="AK50" s="6">
        <f t="shared" si="24"/>
        <v>39091.310280000012</v>
      </c>
      <c r="AL50" s="6">
        <f t="shared" si="25"/>
        <v>39091.310280000012</v>
      </c>
    </row>
    <row r="51" spans="1:38" x14ac:dyDescent="0.35">
      <c r="A51" s="7" t="s">
        <v>0</v>
      </c>
      <c r="B51" s="2" t="s">
        <v>45</v>
      </c>
      <c r="C51" s="3">
        <v>7.5</v>
      </c>
      <c r="D51" s="3">
        <v>256.01</v>
      </c>
      <c r="E51" s="3">
        <v>336.41</v>
      </c>
      <c r="F51" s="3">
        <v>331.3</v>
      </c>
      <c r="G51" s="3">
        <v>377.41</v>
      </c>
      <c r="H51" s="10">
        <f t="shared" si="5"/>
        <v>471.76250000000005</v>
      </c>
      <c r="I51" s="5">
        <v>5</v>
      </c>
      <c r="J51" s="4">
        <v>1</v>
      </c>
      <c r="K51" s="4">
        <v>3</v>
      </c>
      <c r="L51" s="4">
        <v>10</v>
      </c>
      <c r="M51" s="4">
        <v>10</v>
      </c>
      <c r="N51" s="6">
        <f t="shared" si="26"/>
        <v>21261.143772000003</v>
      </c>
      <c r="O51" s="6">
        <f t="shared" si="27"/>
        <v>20935.314972</v>
      </c>
      <c r="P51" s="6">
        <f t="shared" si="28"/>
        <v>21098.229372000002</v>
      </c>
      <c r="Q51" s="6">
        <f t="shared" si="29"/>
        <v>21668.429772000003</v>
      </c>
      <c r="R51" s="6">
        <f t="shared" si="30"/>
        <v>21668.429772000003</v>
      </c>
      <c r="S51" s="6">
        <f t="shared" si="6"/>
        <v>27810.302652000002</v>
      </c>
      <c r="T51" s="6">
        <f t="shared" si="7"/>
        <v>27484.473852000006</v>
      </c>
      <c r="U51" s="6">
        <f t="shared" si="8"/>
        <v>27647.388252000004</v>
      </c>
      <c r="V51" s="6">
        <f t="shared" si="9"/>
        <v>28217.588652000002</v>
      </c>
      <c r="W51" s="6">
        <f t="shared" si="10"/>
        <v>28217.588652000002</v>
      </c>
      <c r="X51" s="6">
        <f t="shared" si="11"/>
        <v>27394.056360000006</v>
      </c>
      <c r="Y51" s="6">
        <f t="shared" si="12"/>
        <v>27068.227559999999</v>
      </c>
      <c r="Z51" s="6">
        <f t="shared" si="13"/>
        <v>27231.141960000001</v>
      </c>
      <c r="AA51" s="6">
        <f t="shared" si="14"/>
        <v>27801.342360000002</v>
      </c>
      <c r="AB51" s="6">
        <f t="shared" si="15"/>
        <v>27801.342360000002</v>
      </c>
      <c r="AC51" s="6">
        <f t="shared" si="16"/>
        <v>31150.047852000007</v>
      </c>
      <c r="AD51" s="6">
        <f t="shared" si="17"/>
        <v>30824.219052</v>
      </c>
      <c r="AE51" s="6">
        <f t="shared" si="18"/>
        <v>30987.133452000009</v>
      </c>
      <c r="AF51" s="6">
        <f t="shared" si="19"/>
        <v>31557.333852000003</v>
      </c>
      <c r="AG51" s="6">
        <f t="shared" si="20"/>
        <v>31557.333852000003</v>
      </c>
      <c r="AH51" s="6">
        <f t="shared" si="21"/>
        <v>38835.73831500001</v>
      </c>
      <c r="AI51" s="6">
        <f t="shared" si="22"/>
        <v>38509.909515000014</v>
      </c>
      <c r="AJ51" s="6">
        <f t="shared" si="23"/>
        <v>38672.823915000008</v>
      </c>
      <c r="AK51" s="6">
        <f t="shared" si="24"/>
        <v>39243.02431500001</v>
      </c>
      <c r="AL51" s="6">
        <f t="shared" si="25"/>
        <v>39243.02431500001</v>
      </c>
    </row>
    <row r="52" spans="1:38" x14ac:dyDescent="0.35">
      <c r="A52" s="7" t="s">
        <v>0</v>
      </c>
      <c r="B52" s="2" t="s">
        <v>47</v>
      </c>
      <c r="C52" s="3">
        <v>11</v>
      </c>
      <c r="D52" s="3">
        <v>360.46</v>
      </c>
      <c r="E52" s="3">
        <v>441.23</v>
      </c>
      <c r="F52" s="3">
        <v>476.13</v>
      </c>
      <c r="G52" s="3">
        <v>607.13</v>
      </c>
      <c r="H52" s="10">
        <f t="shared" si="5"/>
        <v>758.91250000000002</v>
      </c>
      <c r="I52" s="5">
        <v>5</v>
      </c>
      <c r="J52" s="4">
        <v>1</v>
      </c>
      <c r="K52" s="4">
        <v>3</v>
      </c>
      <c r="L52" s="4">
        <v>10</v>
      </c>
      <c r="M52" s="4">
        <v>10</v>
      </c>
      <c r="N52" s="6">
        <f t="shared" si="26"/>
        <v>29769.348311999998</v>
      </c>
      <c r="O52" s="6">
        <f t="shared" si="27"/>
        <v>29443.519512000003</v>
      </c>
      <c r="P52" s="6">
        <f t="shared" si="28"/>
        <v>29606.433912</v>
      </c>
      <c r="Q52" s="6">
        <f t="shared" si="29"/>
        <v>30176.634311999995</v>
      </c>
      <c r="R52" s="6">
        <f t="shared" si="30"/>
        <v>30176.634311999995</v>
      </c>
      <c r="S52" s="6">
        <f>(E52+I52)*33*1.1*1.2*1.1*1.7</f>
        <v>36348.646356000005</v>
      </c>
      <c r="T52" s="6">
        <f t="shared" si="7"/>
        <v>36022.817556000009</v>
      </c>
      <c r="U52" s="6">
        <f t="shared" si="8"/>
        <v>36185.731956000003</v>
      </c>
      <c r="V52" s="6">
        <f t="shared" si="9"/>
        <v>36755.932355999998</v>
      </c>
      <c r="W52" s="6">
        <f t="shared" si="10"/>
        <v>36755.932355999998</v>
      </c>
      <c r="X52" s="6">
        <f t="shared" si="11"/>
        <v>39191.502636000005</v>
      </c>
      <c r="Y52" s="6">
        <f t="shared" si="12"/>
        <v>38865.673835999994</v>
      </c>
      <c r="Z52" s="6">
        <f t="shared" si="13"/>
        <v>39028.588235999996</v>
      </c>
      <c r="AA52" s="6">
        <f t="shared" si="14"/>
        <v>39598.788635999997</v>
      </c>
      <c r="AB52" s="6">
        <f t="shared" si="15"/>
        <v>39598.788635999997</v>
      </c>
      <c r="AC52" s="6">
        <f t="shared" si="16"/>
        <v>49862.395836000011</v>
      </c>
      <c r="AD52" s="6">
        <f t="shared" si="17"/>
        <v>49536.567036000008</v>
      </c>
      <c r="AE52" s="6">
        <f t="shared" si="18"/>
        <v>49699.481436000002</v>
      </c>
      <c r="AF52" s="6">
        <f t="shared" si="19"/>
        <v>50269.681836000003</v>
      </c>
      <c r="AG52" s="6">
        <f t="shared" si="20"/>
        <v>50269.681836000003</v>
      </c>
      <c r="AH52" s="6">
        <f t="shared" si="21"/>
        <v>62226.173295000001</v>
      </c>
      <c r="AI52" s="6">
        <f t="shared" si="22"/>
        <v>61900.344495000012</v>
      </c>
      <c r="AJ52" s="6">
        <f t="shared" si="23"/>
        <v>62063.258894999999</v>
      </c>
      <c r="AK52" s="6">
        <f t="shared" si="24"/>
        <v>62633.459294999993</v>
      </c>
      <c r="AL52" s="6">
        <f t="shared" si="25"/>
        <v>62633.459294999993</v>
      </c>
    </row>
    <row r="53" spans="1:38" x14ac:dyDescent="0.35">
      <c r="A53" s="7" t="s">
        <v>0</v>
      </c>
      <c r="B53" s="2" t="s">
        <v>49</v>
      </c>
      <c r="C53" s="3">
        <v>15</v>
      </c>
      <c r="D53" s="3">
        <v>367.82</v>
      </c>
      <c r="E53" s="3">
        <v>443.1</v>
      </c>
      <c r="F53" s="3">
        <v>478</v>
      </c>
      <c r="G53" s="3">
        <v>622.46</v>
      </c>
      <c r="H53" s="10">
        <f t="shared" si="5"/>
        <v>778.07500000000005</v>
      </c>
      <c r="I53" s="5">
        <v>5</v>
      </c>
      <c r="J53" s="4">
        <v>1</v>
      </c>
      <c r="K53" s="4">
        <v>3</v>
      </c>
      <c r="L53" s="4">
        <v>10</v>
      </c>
      <c r="M53" s="4">
        <v>10</v>
      </c>
      <c r="N53" s="6">
        <f t="shared" si="26"/>
        <v>30368.873304000004</v>
      </c>
      <c r="O53" s="6">
        <f t="shared" si="27"/>
        <v>30043.044504000001</v>
      </c>
      <c r="P53" s="6">
        <f t="shared" si="28"/>
        <v>30205.958903999999</v>
      </c>
      <c r="Q53" s="6">
        <f t="shared" si="29"/>
        <v>30776.159304000001</v>
      </c>
      <c r="R53" s="6">
        <f t="shared" si="30"/>
        <v>30776.159304000001</v>
      </c>
      <c r="S53" s="6">
        <f t="shared" si="6"/>
        <v>36500.971320000004</v>
      </c>
      <c r="T53" s="6">
        <f t="shared" si="7"/>
        <v>36175.142520000009</v>
      </c>
      <c r="U53" s="6">
        <f t="shared" si="8"/>
        <v>36338.056920000003</v>
      </c>
      <c r="V53" s="6">
        <f t="shared" si="9"/>
        <v>36908.257320000004</v>
      </c>
      <c r="W53" s="6">
        <f t="shared" si="10"/>
        <v>36908.257320000004</v>
      </c>
      <c r="X53" s="6">
        <f t="shared" si="11"/>
        <v>39343.827599999997</v>
      </c>
      <c r="Y53" s="6">
        <f t="shared" si="12"/>
        <v>39017.998800000001</v>
      </c>
      <c r="Z53" s="6">
        <f t="shared" si="13"/>
        <v>39180.91320000001</v>
      </c>
      <c r="AA53" s="6">
        <f t="shared" si="14"/>
        <v>39751.113600000012</v>
      </c>
      <c r="AB53" s="6">
        <f t="shared" si="15"/>
        <v>39751.113600000012</v>
      </c>
      <c r="AC53" s="6">
        <f t="shared" si="16"/>
        <v>51111.134712000006</v>
      </c>
      <c r="AD53" s="6">
        <f t="shared" si="17"/>
        <v>50785.305912000003</v>
      </c>
      <c r="AE53" s="6">
        <f t="shared" si="18"/>
        <v>50948.220312000012</v>
      </c>
      <c r="AF53" s="6">
        <f t="shared" si="19"/>
        <v>51518.420712000006</v>
      </c>
      <c r="AG53" s="6">
        <f t="shared" si="20"/>
        <v>51518.420712000006</v>
      </c>
      <c r="AH53" s="6">
        <f t="shared" si="21"/>
        <v>63787.096890000008</v>
      </c>
      <c r="AI53" s="6">
        <f t="shared" si="22"/>
        <v>63461.26809000002</v>
      </c>
      <c r="AJ53" s="6">
        <f t="shared" si="23"/>
        <v>63624.182490000021</v>
      </c>
      <c r="AK53" s="6">
        <f t="shared" si="24"/>
        <v>64194.382890000015</v>
      </c>
      <c r="AL53" s="6">
        <f t="shared" si="25"/>
        <v>64194.382890000015</v>
      </c>
    </row>
    <row r="54" spans="1:38" x14ac:dyDescent="0.35">
      <c r="A54" s="7" t="s">
        <v>0</v>
      </c>
      <c r="B54" s="2" t="s">
        <v>51</v>
      </c>
      <c r="C54" s="3">
        <v>18.5</v>
      </c>
      <c r="D54" s="3">
        <v>425.53</v>
      </c>
      <c r="E54" s="3">
        <v>501.06</v>
      </c>
      <c r="F54" s="3">
        <v>552.79</v>
      </c>
      <c r="G54" s="3">
        <v>719.56</v>
      </c>
      <c r="H54" s="10">
        <f t="shared" si="5"/>
        <v>899.44999999999993</v>
      </c>
      <c r="I54" s="5">
        <v>5</v>
      </c>
      <c r="J54" s="4">
        <v>1</v>
      </c>
      <c r="K54" s="4">
        <v>3</v>
      </c>
      <c r="L54" s="4">
        <v>10</v>
      </c>
      <c r="M54" s="4">
        <v>10</v>
      </c>
      <c r="N54" s="6">
        <f t="shared" si="26"/>
        <v>35069.768316000002</v>
      </c>
      <c r="O54" s="6">
        <f t="shared" si="27"/>
        <v>34743.939515999999</v>
      </c>
      <c r="P54" s="6">
        <f t="shared" si="28"/>
        <v>34906.853916</v>
      </c>
      <c r="Q54" s="6">
        <f t="shared" si="29"/>
        <v>35477.054316000002</v>
      </c>
      <c r="R54" s="6">
        <f t="shared" si="30"/>
        <v>35477.054316000002</v>
      </c>
      <c r="S54" s="6">
        <f t="shared" si="6"/>
        <v>41222.230632000006</v>
      </c>
      <c r="T54" s="6">
        <f t="shared" si="7"/>
        <v>40896.40183200001</v>
      </c>
      <c r="U54" s="6">
        <f t="shared" si="8"/>
        <v>41059.316232000005</v>
      </c>
      <c r="V54" s="6">
        <f t="shared" si="9"/>
        <v>41629.516632000006</v>
      </c>
      <c r="W54" s="6">
        <f t="shared" si="10"/>
        <v>41629.516632000006</v>
      </c>
      <c r="X54" s="6">
        <f t="shared" si="11"/>
        <v>45436.011588000008</v>
      </c>
      <c r="Y54" s="6">
        <f t="shared" si="12"/>
        <v>45110.182788000006</v>
      </c>
      <c r="Z54" s="6">
        <f t="shared" si="13"/>
        <v>45273.097188</v>
      </c>
      <c r="AA54" s="6">
        <f t="shared" si="14"/>
        <v>45843.297588000009</v>
      </c>
      <c r="AB54" s="6">
        <f t="shared" si="15"/>
        <v>45843.297588000009</v>
      </c>
      <c r="AC54" s="6">
        <f t="shared" si="16"/>
        <v>59020.628832000009</v>
      </c>
      <c r="AD54" s="6">
        <f t="shared" si="17"/>
        <v>58694.800032000006</v>
      </c>
      <c r="AE54" s="6">
        <f t="shared" si="18"/>
        <v>58857.714431999993</v>
      </c>
      <c r="AF54" s="6">
        <f t="shared" si="19"/>
        <v>59427.914832000002</v>
      </c>
      <c r="AG54" s="6">
        <f t="shared" si="20"/>
        <v>59427.914832000002</v>
      </c>
      <c r="AH54" s="6">
        <f t="shared" si="21"/>
        <v>73673.964540000015</v>
      </c>
      <c r="AI54" s="6">
        <f t="shared" si="22"/>
        <v>73348.135739999998</v>
      </c>
      <c r="AJ54" s="6">
        <f t="shared" si="23"/>
        <v>73511.050140000007</v>
      </c>
      <c r="AK54" s="6">
        <f t="shared" si="24"/>
        <v>74081.250539999994</v>
      </c>
      <c r="AL54" s="6">
        <f t="shared" si="25"/>
        <v>74081.250539999994</v>
      </c>
    </row>
    <row r="55" spans="1:38" x14ac:dyDescent="0.35">
      <c r="A55" s="7" t="s">
        <v>0</v>
      </c>
      <c r="B55" s="2" t="s">
        <v>53</v>
      </c>
      <c r="C55" s="3">
        <v>22</v>
      </c>
      <c r="D55" s="3">
        <v>532.1</v>
      </c>
      <c r="E55" s="3">
        <v>622.46</v>
      </c>
      <c r="F55" s="3">
        <v>720.18</v>
      </c>
      <c r="G55" s="3">
        <v>913.87</v>
      </c>
      <c r="H55" s="10">
        <f t="shared" si="5"/>
        <v>1142.3375000000001</v>
      </c>
      <c r="I55" s="5">
        <v>5</v>
      </c>
      <c r="J55" s="4">
        <v>1</v>
      </c>
      <c r="K55" s="4">
        <v>3</v>
      </c>
      <c r="L55" s="4">
        <v>10</v>
      </c>
      <c r="M55" s="4">
        <v>10</v>
      </c>
      <c r="N55" s="6">
        <f t="shared" si="26"/>
        <v>43750.662120000001</v>
      </c>
      <c r="O55" s="6">
        <f t="shared" si="27"/>
        <v>43424.833320000012</v>
      </c>
      <c r="P55" s="6">
        <f t="shared" si="28"/>
        <v>43587.747720000007</v>
      </c>
      <c r="Q55" s="6">
        <f t="shared" si="29"/>
        <v>44157.948120000001</v>
      </c>
      <c r="R55" s="6">
        <f t="shared" si="30"/>
        <v>44157.948120000001</v>
      </c>
      <c r="S55" s="6">
        <f t="shared" si="6"/>
        <v>51111.134712000006</v>
      </c>
      <c r="T55" s="6">
        <f t="shared" si="7"/>
        <v>50785.305912000003</v>
      </c>
      <c r="U55" s="6">
        <f t="shared" si="8"/>
        <v>50948.220312000012</v>
      </c>
      <c r="V55" s="6">
        <f t="shared" si="9"/>
        <v>51518.420712000006</v>
      </c>
      <c r="W55" s="6">
        <f t="shared" si="10"/>
        <v>51518.420712000006</v>
      </c>
      <c r="X55" s="6">
        <f t="shared" si="11"/>
        <v>59071.132296000003</v>
      </c>
      <c r="Y55" s="6">
        <f t="shared" si="12"/>
        <v>58745.303495999993</v>
      </c>
      <c r="Z55" s="6">
        <f t="shared" si="13"/>
        <v>58908.217895999995</v>
      </c>
      <c r="AA55" s="6">
        <f t="shared" si="14"/>
        <v>59478.418296000003</v>
      </c>
      <c r="AB55" s="6">
        <f t="shared" si="15"/>
        <v>59478.418296000003</v>
      </c>
      <c r="AC55" s="6">
        <f t="shared" si="16"/>
        <v>74848.577364000012</v>
      </c>
      <c r="AD55" s="6">
        <f t="shared" si="17"/>
        <v>74522.748564000009</v>
      </c>
      <c r="AE55" s="6">
        <f t="shared" si="18"/>
        <v>74685.662964000003</v>
      </c>
      <c r="AF55" s="6">
        <f t="shared" si="19"/>
        <v>75255.863364000004</v>
      </c>
      <c r="AG55" s="6">
        <f t="shared" si="20"/>
        <v>75255.863364000004</v>
      </c>
      <c r="AH55" s="6">
        <f t="shared" si="21"/>
        <v>93458.900205000013</v>
      </c>
      <c r="AI55" s="6">
        <f t="shared" si="22"/>
        <v>93133.071405000024</v>
      </c>
      <c r="AJ55" s="6">
        <f t="shared" si="23"/>
        <v>93295.985805000018</v>
      </c>
      <c r="AK55" s="6">
        <f t="shared" si="24"/>
        <v>93866.186205000005</v>
      </c>
      <c r="AL55" s="6">
        <f t="shared" si="25"/>
        <v>93866.186205000005</v>
      </c>
    </row>
    <row r="56" spans="1:38" x14ac:dyDescent="0.35">
      <c r="A56" s="7" t="s">
        <v>0</v>
      </c>
      <c r="B56" s="2" t="s">
        <v>55</v>
      </c>
      <c r="C56" s="3">
        <v>30</v>
      </c>
      <c r="D56" s="3">
        <v>778.76</v>
      </c>
      <c r="E56" s="3">
        <v>871</v>
      </c>
      <c r="F56" s="3">
        <v>1020.69</v>
      </c>
      <c r="G56" s="3">
        <v>1256.1400000000001</v>
      </c>
      <c r="H56" s="10">
        <f t="shared" si="5"/>
        <v>1570.1750000000002</v>
      </c>
      <c r="I56" s="5">
        <v>5</v>
      </c>
      <c r="J56" s="4">
        <v>1</v>
      </c>
      <c r="K56" s="4">
        <v>3</v>
      </c>
      <c r="L56" s="4">
        <v>10</v>
      </c>
      <c r="M56" s="4">
        <v>10</v>
      </c>
      <c r="N56" s="6">
        <f t="shared" si="26"/>
        <v>63842.895072000007</v>
      </c>
      <c r="O56" s="6">
        <f t="shared" si="27"/>
        <v>63517.066272000011</v>
      </c>
      <c r="P56" s="6">
        <f t="shared" si="28"/>
        <v>63679.980671999998</v>
      </c>
      <c r="Q56" s="6">
        <f t="shared" si="29"/>
        <v>64250.181072000007</v>
      </c>
      <c r="R56" s="6">
        <f t="shared" si="30"/>
        <v>64250.181072000007</v>
      </c>
      <c r="S56" s="6">
        <f t="shared" si="6"/>
        <v>71356.507200000022</v>
      </c>
      <c r="T56" s="6">
        <f t="shared" si="7"/>
        <v>71030.678400000004</v>
      </c>
      <c r="U56" s="6">
        <f t="shared" si="8"/>
        <v>71193.592799999999</v>
      </c>
      <c r="V56" s="6">
        <f t="shared" si="9"/>
        <v>71763.793200000015</v>
      </c>
      <c r="W56" s="6">
        <f t="shared" si="10"/>
        <v>71763.793200000015</v>
      </c>
      <c r="X56" s="6">
        <f t="shared" si="11"/>
        <v>83549.835468000019</v>
      </c>
      <c r="Y56" s="6">
        <f t="shared" si="12"/>
        <v>83224.006668000031</v>
      </c>
      <c r="Z56" s="6">
        <f t="shared" si="13"/>
        <v>83386.921068000011</v>
      </c>
      <c r="AA56" s="6">
        <f t="shared" si="14"/>
        <v>83957.121468000012</v>
      </c>
      <c r="AB56" s="6">
        <f t="shared" si="15"/>
        <v>83957.121468000012</v>
      </c>
      <c r="AC56" s="6">
        <f t="shared" si="16"/>
        <v>102728.93320800002</v>
      </c>
      <c r="AD56" s="6">
        <f t="shared" si="17"/>
        <v>102403.10440800001</v>
      </c>
      <c r="AE56" s="6">
        <f t="shared" si="18"/>
        <v>102566.01880800001</v>
      </c>
      <c r="AF56" s="6">
        <f t="shared" si="19"/>
        <v>103136.21920800001</v>
      </c>
      <c r="AG56" s="6">
        <f t="shared" si="20"/>
        <v>103136.21920800001</v>
      </c>
      <c r="AH56" s="6">
        <f t="shared" si="21"/>
        <v>128309.34501000006</v>
      </c>
      <c r="AI56" s="6">
        <f t="shared" si="22"/>
        <v>127983.51621000005</v>
      </c>
      <c r="AJ56" s="6">
        <f t="shared" si="23"/>
        <v>128146.43061000004</v>
      </c>
      <c r="AK56" s="6">
        <f t="shared" si="24"/>
        <v>128716.63101000004</v>
      </c>
      <c r="AL56" s="6">
        <f t="shared" si="25"/>
        <v>128716.63101000004</v>
      </c>
    </row>
    <row r="57" spans="1:38" x14ac:dyDescent="0.35">
      <c r="A57" s="7" t="s">
        <v>0</v>
      </c>
      <c r="B57" s="2" t="s">
        <v>57</v>
      </c>
      <c r="C57" s="3">
        <v>37</v>
      </c>
      <c r="D57" s="3">
        <v>794.47</v>
      </c>
      <c r="E57" s="3">
        <v>874.24</v>
      </c>
      <c r="F57" s="3">
        <v>1023.31</v>
      </c>
      <c r="G57" s="3">
        <v>1258.1300000000001</v>
      </c>
      <c r="H57" s="10">
        <f t="shared" si="5"/>
        <v>1572.6625000000001</v>
      </c>
      <c r="I57" s="5">
        <v>5</v>
      </c>
      <c r="J57" s="4">
        <v>1</v>
      </c>
      <c r="K57" s="4">
        <v>3</v>
      </c>
      <c r="L57" s="4">
        <v>10</v>
      </c>
      <c r="M57" s="4">
        <v>10</v>
      </c>
      <c r="N57" s="6">
        <f t="shared" si="26"/>
        <v>65122.587684000006</v>
      </c>
      <c r="O57" s="6">
        <f t="shared" si="27"/>
        <v>64796.75888400001</v>
      </c>
      <c r="P57" s="6">
        <f t="shared" si="28"/>
        <v>64959.673284000004</v>
      </c>
      <c r="Q57" s="6">
        <f t="shared" si="29"/>
        <v>65529.87368400002</v>
      </c>
      <c r="R57" s="6">
        <f t="shared" si="30"/>
        <v>65529.87368400002</v>
      </c>
      <c r="S57" s="6">
        <f t="shared" si="6"/>
        <v>71620.428528000004</v>
      </c>
      <c r="T57" s="6">
        <f t="shared" si="7"/>
        <v>71294.599728000001</v>
      </c>
      <c r="U57" s="6">
        <f t="shared" si="8"/>
        <v>71457.51412800001</v>
      </c>
      <c r="V57" s="6">
        <f t="shared" si="9"/>
        <v>72027.714528000011</v>
      </c>
      <c r="W57" s="6">
        <f t="shared" si="10"/>
        <v>72027.714528000011</v>
      </c>
      <c r="X57" s="6">
        <f t="shared" si="11"/>
        <v>83763.253331999993</v>
      </c>
      <c r="Y57" s="6">
        <f t="shared" si="12"/>
        <v>83437.424532000005</v>
      </c>
      <c r="Z57" s="6">
        <f t="shared" si="13"/>
        <v>83600.338932000013</v>
      </c>
      <c r="AA57" s="6">
        <f t="shared" si="14"/>
        <v>84170.539332</v>
      </c>
      <c r="AB57" s="6">
        <f t="shared" si="15"/>
        <v>84170.539332</v>
      </c>
      <c r="AC57" s="6">
        <f t="shared" si="16"/>
        <v>102891.03303600001</v>
      </c>
      <c r="AD57" s="6">
        <f t="shared" si="17"/>
        <v>102565.20423600001</v>
      </c>
      <c r="AE57" s="6">
        <f t="shared" si="18"/>
        <v>102728.11863600001</v>
      </c>
      <c r="AF57" s="6">
        <f t="shared" si="19"/>
        <v>103298.31903600002</v>
      </c>
      <c r="AG57" s="6">
        <f t="shared" si="20"/>
        <v>103298.31903600002</v>
      </c>
      <c r="AH57" s="6">
        <f t="shared" si="21"/>
        <v>128511.96979500003</v>
      </c>
      <c r="AI57" s="6">
        <f t="shared" si="22"/>
        <v>128186.14099500001</v>
      </c>
      <c r="AJ57" s="6">
        <f t="shared" si="23"/>
        <v>128349.055395</v>
      </c>
      <c r="AK57" s="6">
        <f t="shared" si="24"/>
        <v>128919.255795</v>
      </c>
      <c r="AL57" s="6">
        <f t="shared" si="25"/>
        <v>128919.255795</v>
      </c>
    </row>
    <row r="59" spans="1:38" ht="25" customHeight="1" x14ac:dyDescent="0.35">
      <c r="A59" s="13" t="s">
        <v>64</v>
      </c>
      <c r="B59" s="13"/>
      <c r="C59" s="1" t="s">
        <v>65</v>
      </c>
      <c r="D59" s="1" t="s">
        <v>93</v>
      </c>
      <c r="E59" s="1" t="s">
        <v>1</v>
      </c>
      <c r="F59" s="1" t="s">
        <v>2</v>
      </c>
      <c r="G59" s="1" t="s">
        <v>3</v>
      </c>
      <c r="H59" s="1" t="s">
        <v>92</v>
      </c>
      <c r="I59" s="1" t="s">
        <v>59</v>
      </c>
      <c r="J59" s="1" t="s">
        <v>60</v>
      </c>
      <c r="K59" s="1" t="s">
        <v>61</v>
      </c>
      <c r="L59" s="1" t="s">
        <v>62</v>
      </c>
      <c r="M59" s="1" t="s">
        <v>63</v>
      </c>
      <c r="N59" s="1" t="s">
        <v>67</v>
      </c>
      <c r="O59" s="1" t="s">
        <v>68</v>
      </c>
      <c r="P59" s="1" t="s">
        <v>69</v>
      </c>
      <c r="Q59" s="1" t="s">
        <v>70</v>
      </c>
      <c r="R59" s="1" t="s">
        <v>71</v>
      </c>
      <c r="S59" s="1" t="s">
        <v>72</v>
      </c>
      <c r="T59" s="1" t="s">
        <v>73</v>
      </c>
      <c r="U59" s="1" t="s">
        <v>74</v>
      </c>
      <c r="V59" s="1" t="s">
        <v>75</v>
      </c>
      <c r="W59" s="1" t="s">
        <v>76</v>
      </c>
      <c r="X59" s="1" t="s">
        <v>77</v>
      </c>
      <c r="Y59" s="1" t="s">
        <v>78</v>
      </c>
      <c r="Z59" s="1" t="s">
        <v>79</v>
      </c>
      <c r="AA59" s="1" t="s">
        <v>80</v>
      </c>
      <c r="AB59" s="1" t="s">
        <v>81</v>
      </c>
      <c r="AC59" s="1" t="s">
        <v>82</v>
      </c>
      <c r="AD59" s="1" t="s">
        <v>83</v>
      </c>
      <c r="AE59" s="1" t="s">
        <v>84</v>
      </c>
      <c r="AF59" s="1" t="s">
        <v>85</v>
      </c>
      <c r="AG59" s="1" t="s">
        <v>86</v>
      </c>
      <c r="AH59" s="1" t="s">
        <v>87</v>
      </c>
      <c r="AI59" s="1" t="s">
        <v>88</v>
      </c>
      <c r="AJ59" s="1" t="s">
        <v>89</v>
      </c>
      <c r="AK59" s="1" t="s">
        <v>90</v>
      </c>
      <c r="AL59" s="1" t="s">
        <v>91</v>
      </c>
    </row>
    <row r="60" spans="1:38" x14ac:dyDescent="0.35">
      <c r="A60" s="8" t="s">
        <v>93</v>
      </c>
      <c r="B60" s="9" t="s">
        <v>94</v>
      </c>
      <c r="C60" s="10">
        <v>0.18</v>
      </c>
      <c r="D60" s="10">
        <v>52.72</v>
      </c>
      <c r="E60" s="10">
        <v>67.430000000000007</v>
      </c>
      <c r="F60" s="14">
        <v>80.64</v>
      </c>
      <c r="G60" s="14">
        <v>108.56</v>
      </c>
      <c r="H60" s="10">
        <f>G60*1.25</f>
        <v>135.69999999999999</v>
      </c>
      <c r="I60" s="5">
        <v>5</v>
      </c>
      <c r="J60" s="4">
        <v>1</v>
      </c>
      <c r="K60" s="4">
        <v>3</v>
      </c>
      <c r="L60" s="4">
        <v>10</v>
      </c>
      <c r="M60" s="4">
        <v>10</v>
      </c>
      <c r="N60" s="6">
        <f>(D60+I60)*33*1.1*1.2*1.1*1.7</f>
        <v>4701.7095840000011</v>
      </c>
      <c r="O60" s="6">
        <f t="shared" ref="O60:O89" si="31">(D60+J60)*33*1.1*1.2*1.1*1.7</f>
        <v>4375.8807839999999</v>
      </c>
      <c r="P60" s="6">
        <f t="shared" ref="P60:P89" si="32">(D60+K60)*33*1.1*1.2*1.1*1.7</f>
        <v>4538.7951839999996</v>
      </c>
      <c r="Q60" s="6">
        <f t="shared" ref="Q60:Q89" si="33">(D60+L60)*33*1.1*1.2*1.1*1.7</f>
        <v>5108.9955839999993</v>
      </c>
      <c r="R60" s="6">
        <f t="shared" ref="R60:R89" si="34">(D60+M60)*33*1.1*1.2*1.1*1.7</f>
        <v>5108.9955839999993</v>
      </c>
      <c r="S60" s="6">
        <f>(E60+I60)*33*1.1*1.2*1.1*1.7</f>
        <v>5899.9449960000011</v>
      </c>
      <c r="T60" s="6">
        <f>(E60+J60)*33*1.1*1.2*1.1*1.7</f>
        <v>5574.1161960000018</v>
      </c>
      <c r="U60" s="6">
        <f>(E60+K60)*33*1.1*1.2*1.1*1.7</f>
        <v>5737.0305960000014</v>
      </c>
      <c r="V60" s="6">
        <f>(E60+L60)*33*1.1*1.2*1.1*1.7</f>
        <v>6307.2309960000002</v>
      </c>
      <c r="W60" s="6">
        <f>(E60+M60)*33*1.1*1.2*1.1*1.7</f>
        <v>6307.2309960000002</v>
      </c>
      <c r="X60" s="6">
        <f>(F60+I60)*33*1.1*1.2*1.1*1.7</f>
        <v>6975.994608</v>
      </c>
      <c r="Y60" s="6">
        <f>(F60+J60)*33*1.1*1.2*1.1*1.7</f>
        <v>6650.1658080000007</v>
      </c>
      <c r="Z60" s="6">
        <f>(F60+K60)*33*1.1*1.2*1.1*1.7</f>
        <v>6813.0802080000003</v>
      </c>
      <c r="AA60" s="6">
        <f>(F60+L60)*33*1.1*1.2*1.1*1.7</f>
        <v>7383.280608</v>
      </c>
      <c r="AB60" s="6">
        <f>(F60+M60)*33*1.1*1.2*1.1*1.7</f>
        <v>7383.280608</v>
      </c>
      <c r="AC60" s="6">
        <f>(G60+I60)*33*1.1*1.2*1.1*1.7</f>
        <v>9250.2796319999998</v>
      </c>
      <c r="AD60" s="6">
        <f>(G60+J60)*33*1.1*1.2*1.1*1.7</f>
        <v>8924.4508320000004</v>
      </c>
      <c r="AE60" s="6">
        <f>(G60+K60)*33*1.1*1.2*1.1*1.7</f>
        <v>9087.3652320000019</v>
      </c>
      <c r="AF60" s="6">
        <f>(G60+L60)*33*1.1*1.2*1.1*1.7</f>
        <v>9657.5656319999998</v>
      </c>
      <c r="AG60" s="6">
        <f>(G60+M60)*33*1.1*1.2*1.1*1.7</f>
        <v>9657.5656319999998</v>
      </c>
      <c r="AH60" s="6">
        <f>(H60+I60)*33*1.1*1.2*1.1*1.7</f>
        <v>11461.028040000001</v>
      </c>
      <c r="AI60" s="6">
        <f>(H60+J60)*33*1.1*1.2*1.1*1.7</f>
        <v>11135.19924</v>
      </c>
      <c r="AJ60" s="6">
        <f>(H60+K60)*33*1.1*1.2*1.1*1.7</f>
        <v>11298.113639999998</v>
      </c>
      <c r="AK60" s="6">
        <f>(H60+L60)*33*1.1*1.2*1.1*1.7</f>
        <v>11868.314039999999</v>
      </c>
      <c r="AL60" s="6">
        <f>(H60+M60)*33*1.1*1.2*1.1*1.7</f>
        <v>11868.314039999999</v>
      </c>
    </row>
    <row r="61" spans="1:38" x14ac:dyDescent="0.35">
      <c r="A61" s="8" t="s">
        <v>93</v>
      </c>
      <c r="B61" s="2" t="s">
        <v>95</v>
      </c>
      <c r="C61" s="3">
        <v>0.25</v>
      </c>
      <c r="D61" s="3">
        <v>54.72</v>
      </c>
      <c r="E61" s="10">
        <v>69.67</v>
      </c>
      <c r="F61" s="15">
        <v>82.51</v>
      </c>
      <c r="G61" s="15">
        <v>110.68</v>
      </c>
      <c r="H61" s="10">
        <f t="shared" ref="H61" si="35">G61*1.25</f>
        <v>138.35000000000002</v>
      </c>
      <c r="I61" s="5">
        <v>5</v>
      </c>
      <c r="J61" s="4">
        <v>1</v>
      </c>
      <c r="K61" s="4">
        <v>3</v>
      </c>
      <c r="L61" s="4">
        <v>10</v>
      </c>
      <c r="M61" s="4">
        <v>10</v>
      </c>
      <c r="N61" s="6">
        <f>(D61+I61)*33*1.1*1.2*1.1*1.7</f>
        <v>4864.6239840000007</v>
      </c>
      <c r="O61" s="6">
        <f t="shared" si="31"/>
        <v>4538.7951839999996</v>
      </c>
      <c r="P61" s="6">
        <f t="shared" si="32"/>
        <v>4701.7095840000011</v>
      </c>
      <c r="Q61" s="6">
        <f t="shared" si="33"/>
        <v>5271.909983999999</v>
      </c>
      <c r="R61" s="6">
        <f t="shared" si="34"/>
        <v>5271.909983999999</v>
      </c>
      <c r="S61" s="6">
        <f t="shared" ref="S61:S98" si="36">(E61+I61)*33*1.1*1.2*1.1*1.7</f>
        <v>6082.4091239999998</v>
      </c>
      <c r="T61" s="6">
        <f t="shared" ref="T61:T98" si="37">(E61+J61)*33*1.1*1.2*1.1*1.7</f>
        <v>5756.5803240000005</v>
      </c>
      <c r="U61" s="6">
        <f t="shared" ref="U61:U98" si="38">(E61+K61)*33*1.1*1.2*1.1*1.7</f>
        <v>5919.4947240000001</v>
      </c>
      <c r="V61" s="6">
        <f t="shared" ref="V61:V98" si="39">(E61+L61)*33*1.1*1.2*1.1*1.7</f>
        <v>6489.6951240000008</v>
      </c>
      <c r="W61" s="6">
        <f t="shared" ref="W61:W98" si="40">(E61+M61)*33*1.1*1.2*1.1*1.7</f>
        <v>6489.6951240000008</v>
      </c>
      <c r="X61" s="6">
        <f t="shared" ref="X61:X98" si="41">(F61+I61)*33*1.1*1.2*1.1*1.7</f>
        <v>7128.3195720000022</v>
      </c>
      <c r="Y61" s="6">
        <f t="shared" ref="Y61:Y98" si="42">(F61+J61)*33*1.1*1.2*1.1*1.7</f>
        <v>6802.490772000001</v>
      </c>
      <c r="Z61" s="6">
        <f t="shared" ref="Z61:Z98" si="43">(F61+K61)*33*1.1*1.2*1.1*1.7</f>
        <v>6965.4051720000016</v>
      </c>
      <c r="AA61" s="6">
        <f t="shared" ref="AA61:AA98" si="44">(F61+L61)*33*1.1*1.2*1.1*1.7</f>
        <v>7535.6055720000022</v>
      </c>
      <c r="AB61" s="6">
        <f t="shared" ref="AB61:AB98" si="45">(F61+M61)*33*1.1*1.2*1.1*1.7</f>
        <v>7535.6055720000022</v>
      </c>
      <c r="AC61" s="6">
        <f t="shared" ref="AC61:AC98" si="46">(G61+I61)*33*1.1*1.2*1.1*1.7</f>
        <v>9422.9688960000021</v>
      </c>
      <c r="AD61" s="6">
        <f t="shared" ref="AD61:AD98" si="47">(G61+J61)*33*1.1*1.2*1.1*1.7</f>
        <v>9097.140096000001</v>
      </c>
      <c r="AE61" s="6">
        <f t="shared" ref="AE61:AE98" si="48">(G61+K61)*33*1.1*1.2*1.1*1.7</f>
        <v>9260.0544960000007</v>
      </c>
      <c r="AF61" s="6">
        <f t="shared" ref="AF61:AF98" si="49">(G61+L61)*33*1.1*1.2*1.1*1.7</f>
        <v>9830.2548960000022</v>
      </c>
      <c r="AG61" s="6">
        <f t="shared" ref="AG61:AG98" si="50">(G61+M61)*33*1.1*1.2*1.1*1.7</f>
        <v>9830.2548960000022</v>
      </c>
      <c r="AH61" s="6">
        <f t="shared" ref="AH61:AH98" si="51">(H61+I61)*33*1.1*1.2*1.1*1.7</f>
        <v>11676.889620000005</v>
      </c>
      <c r="AI61" s="6">
        <f t="shared" ref="AI61:AI98" si="52">(H61+J61)*33*1.1*1.2*1.1*1.7</f>
        <v>11351.060820000004</v>
      </c>
      <c r="AJ61" s="6">
        <f t="shared" ref="AJ61:AJ98" si="53">(H61+K61)*33*1.1*1.2*1.1*1.7</f>
        <v>11513.975220000004</v>
      </c>
      <c r="AK61" s="6">
        <f t="shared" ref="AK61:AK98" si="54">(H61+L61)*33*1.1*1.2*1.1*1.7</f>
        <v>12084.175620000004</v>
      </c>
      <c r="AL61" s="6">
        <f t="shared" ref="AL61:AL98" si="55">(H61+M61)*33*1.1*1.2*1.1*1.7</f>
        <v>12084.175620000004</v>
      </c>
    </row>
    <row r="62" spans="1:38" x14ac:dyDescent="0.35">
      <c r="A62" s="8" t="s">
        <v>93</v>
      </c>
      <c r="B62" s="2" t="s">
        <v>96</v>
      </c>
      <c r="C62" s="3">
        <v>0.37</v>
      </c>
      <c r="D62" s="3">
        <v>58.21</v>
      </c>
      <c r="E62" s="10">
        <v>71.67</v>
      </c>
      <c r="F62" s="15">
        <v>88.87</v>
      </c>
      <c r="G62" s="15">
        <v>114.67</v>
      </c>
      <c r="H62" s="10">
        <f>G62*1.25</f>
        <v>143.33750000000001</v>
      </c>
      <c r="I62" s="5">
        <v>5</v>
      </c>
      <c r="J62" s="4">
        <v>1</v>
      </c>
      <c r="K62" s="4">
        <v>3</v>
      </c>
      <c r="L62" s="4">
        <v>10</v>
      </c>
      <c r="M62" s="4">
        <v>10</v>
      </c>
      <c r="N62" s="6">
        <f>(D62+I62)*33*1.1*1.2*1.1*1.7</f>
        <v>5148.9096120000004</v>
      </c>
      <c r="O62" s="6">
        <f t="shared" si="31"/>
        <v>4823.0808120000011</v>
      </c>
      <c r="P62" s="6">
        <f t="shared" si="32"/>
        <v>4985.9952120000007</v>
      </c>
      <c r="Q62" s="6">
        <f t="shared" si="33"/>
        <v>5556.1956120000013</v>
      </c>
      <c r="R62" s="6">
        <f t="shared" si="34"/>
        <v>5556.1956120000013</v>
      </c>
      <c r="S62" s="6">
        <f t="shared" si="36"/>
        <v>6245.3235240000013</v>
      </c>
      <c r="T62" s="6">
        <f t="shared" si="37"/>
        <v>5919.4947240000001</v>
      </c>
      <c r="U62" s="6">
        <f t="shared" si="38"/>
        <v>6082.4091239999998</v>
      </c>
      <c r="V62" s="6">
        <f t="shared" si="39"/>
        <v>6652.6095240000013</v>
      </c>
      <c r="W62" s="6">
        <f t="shared" si="40"/>
        <v>6652.6095240000013</v>
      </c>
      <c r="X62" s="6">
        <f t="shared" si="41"/>
        <v>7646.3873640000002</v>
      </c>
      <c r="Y62" s="6">
        <f t="shared" si="42"/>
        <v>7320.5585640000008</v>
      </c>
      <c r="Z62" s="6">
        <f t="shared" si="43"/>
        <v>7483.4729640000014</v>
      </c>
      <c r="AA62" s="6">
        <f t="shared" si="44"/>
        <v>8053.6733640000011</v>
      </c>
      <c r="AB62" s="6">
        <f t="shared" si="45"/>
        <v>8053.6733640000011</v>
      </c>
      <c r="AC62" s="6">
        <f t="shared" si="46"/>
        <v>9747.9831240000021</v>
      </c>
      <c r="AD62" s="6">
        <f t="shared" si="47"/>
        <v>9422.154324000001</v>
      </c>
      <c r="AE62" s="6">
        <f t="shared" si="48"/>
        <v>9585.0687240000007</v>
      </c>
      <c r="AF62" s="6">
        <f t="shared" si="49"/>
        <v>10155.269124</v>
      </c>
      <c r="AG62" s="6">
        <f t="shared" si="50"/>
        <v>10155.269124</v>
      </c>
      <c r="AH62" s="6">
        <f t="shared" si="51"/>
        <v>12083.157404999998</v>
      </c>
      <c r="AI62" s="6">
        <f t="shared" si="52"/>
        <v>11757.328604999999</v>
      </c>
      <c r="AJ62" s="6">
        <f t="shared" si="53"/>
        <v>11920.243005000002</v>
      </c>
      <c r="AK62" s="6">
        <f t="shared" si="54"/>
        <v>12490.443405</v>
      </c>
      <c r="AL62" s="6">
        <f t="shared" si="55"/>
        <v>12490.443405</v>
      </c>
    </row>
    <row r="63" spans="1:38" x14ac:dyDescent="0.35">
      <c r="A63" s="8" t="s">
        <v>93</v>
      </c>
      <c r="B63" s="2" t="s">
        <v>97</v>
      </c>
      <c r="C63" s="3">
        <v>0.55000000000000004</v>
      </c>
      <c r="D63" s="3">
        <v>76.03</v>
      </c>
      <c r="E63" s="10">
        <v>111.68</v>
      </c>
      <c r="F63" s="15">
        <v>119.41</v>
      </c>
      <c r="G63" s="15">
        <v>125.14</v>
      </c>
      <c r="H63" s="10">
        <f t="shared" ref="H63:H98" si="56">G63*1.25</f>
        <v>156.42500000000001</v>
      </c>
      <c r="I63" s="5">
        <v>5</v>
      </c>
      <c r="J63" s="4">
        <v>1</v>
      </c>
      <c r="K63" s="4">
        <v>3</v>
      </c>
      <c r="L63" s="4">
        <v>10</v>
      </c>
      <c r="M63" s="4">
        <v>10</v>
      </c>
      <c r="N63" s="6">
        <f>(D63+I63)*33*1.1*1.2*1.1*1.7</f>
        <v>6600.4769160000014</v>
      </c>
      <c r="O63" s="6">
        <f t="shared" si="31"/>
        <v>6274.6481160000012</v>
      </c>
      <c r="P63" s="6">
        <f t="shared" si="32"/>
        <v>6437.5625160000018</v>
      </c>
      <c r="Q63" s="6">
        <f t="shared" si="33"/>
        <v>7007.7629160000015</v>
      </c>
      <c r="R63" s="6">
        <f t="shared" si="34"/>
        <v>7007.7629160000015</v>
      </c>
      <c r="S63" s="6">
        <f t="shared" si="36"/>
        <v>9504.4260960000011</v>
      </c>
      <c r="T63" s="6">
        <f t="shared" si="37"/>
        <v>9178.5972960000017</v>
      </c>
      <c r="U63" s="6">
        <f t="shared" si="38"/>
        <v>9341.5116959999996</v>
      </c>
      <c r="V63" s="6">
        <f t="shared" si="39"/>
        <v>9911.7120959999993</v>
      </c>
      <c r="W63" s="6">
        <f t="shared" si="40"/>
        <v>9911.7120959999993</v>
      </c>
      <c r="X63" s="6">
        <f t="shared" si="41"/>
        <v>10134.090252000002</v>
      </c>
      <c r="Y63" s="6">
        <f t="shared" si="42"/>
        <v>9808.2614520000006</v>
      </c>
      <c r="Z63" s="6">
        <f t="shared" si="43"/>
        <v>9971.1758520000021</v>
      </c>
      <c r="AA63" s="6">
        <f t="shared" si="44"/>
        <v>10541.376252</v>
      </c>
      <c r="AB63" s="6">
        <f t="shared" si="45"/>
        <v>10541.376252</v>
      </c>
      <c r="AC63" s="6">
        <f t="shared" si="46"/>
        <v>10600.840008000001</v>
      </c>
      <c r="AD63" s="6">
        <f t="shared" si="47"/>
        <v>10275.011208000002</v>
      </c>
      <c r="AE63" s="6">
        <f t="shared" si="48"/>
        <v>10437.925608000001</v>
      </c>
      <c r="AF63" s="6">
        <f t="shared" si="49"/>
        <v>11008.126008000001</v>
      </c>
      <c r="AG63" s="6">
        <f t="shared" si="50"/>
        <v>11008.126008000001</v>
      </c>
      <c r="AH63" s="6">
        <f t="shared" si="51"/>
        <v>13149.228510000003</v>
      </c>
      <c r="AI63" s="6">
        <f t="shared" si="52"/>
        <v>12823.399710000003</v>
      </c>
      <c r="AJ63" s="6">
        <f t="shared" si="53"/>
        <v>12986.314110000003</v>
      </c>
      <c r="AK63" s="6">
        <f t="shared" si="54"/>
        <v>13556.514510000003</v>
      </c>
      <c r="AL63" s="6">
        <f t="shared" si="55"/>
        <v>13556.514510000003</v>
      </c>
    </row>
    <row r="64" spans="1:38" x14ac:dyDescent="0.35">
      <c r="A64" s="8" t="s">
        <v>93</v>
      </c>
      <c r="B64" s="2" t="s">
        <v>16</v>
      </c>
      <c r="C64" s="3">
        <v>0.75</v>
      </c>
      <c r="D64" s="3">
        <v>85.13</v>
      </c>
      <c r="E64" s="10">
        <v>118.78</v>
      </c>
      <c r="F64" s="15">
        <v>100.71</v>
      </c>
      <c r="G64" s="15">
        <v>132.62</v>
      </c>
      <c r="H64" s="10">
        <f t="shared" si="56"/>
        <v>165.77500000000001</v>
      </c>
      <c r="I64" s="5">
        <v>5</v>
      </c>
      <c r="J64" s="4">
        <v>1</v>
      </c>
      <c r="K64" s="4">
        <v>3</v>
      </c>
      <c r="L64" s="4">
        <v>10</v>
      </c>
      <c r="M64" s="4">
        <v>10</v>
      </c>
      <c r="N64" s="6">
        <f t="shared" ref="N60:N89" si="57">(D64+I64)*33*1.1*1.2*1.1*1.7</f>
        <v>7341.7374359999994</v>
      </c>
      <c r="O64" s="6">
        <f t="shared" si="31"/>
        <v>7015.9086359999992</v>
      </c>
      <c r="P64" s="6">
        <f t="shared" si="32"/>
        <v>7178.8230359999998</v>
      </c>
      <c r="Q64" s="6">
        <f t="shared" si="33"/>
        <v>7749.0234360000004</v>
      </c>
      <c r="R64" s="6">
        <f t="shared" si="34"/>
        <v>7749.0234360000004</v>
      </c>
      <c r="S64" s="6">
        <f t="shared" si="36"/>
        <v>10082.772216000001</v>
      </c>
      <c r="T64" s="6">
        <f t="shared" si="37"/>
        <v>9756.9434160000019</v>
      </c>
      <c r="U64" s="6">
        <f t="shared" si="38"/>
        <v>9919.8578160000015</v>
      </c>
      <c r="V64" s="6">
        <f t="shared" si="39"/>
        <v>10490.058215999999</v>
      </c>
      <c r="W64" s="6">
        <f t="shared" si="40"/>
        <v>10490.058215999999</v>
      </c>
      <c r="X64" s="6">
        <f t="shared" si="41"/>
        <v>8610.8406120000018</v>
      </c>
      <c r="Y64" s="6">
        <f t="shared" si="42"/>
        <v>8285.0118120000006</v>
      </c>
      <c r="Z64" s="6">
        <f t="shared" si="43"/>
        <v>8447.9262120000003</v>
      </c>
      <c r="AA64" s="6">
        <f t="shared" si="44"/>
        <v>9018.126612</v>
      </c>
      <c r="AB64" s="6">
        <f t="shared" si="45"/>
        <v>9018.126612</v>
      </c>
      <c r="AC64" s="6">
        <f t="shared" si="46"/>
        <v>11210.139864000001</v>
      </c>
      <c r="AD64" s="6">
        <f t="shared" si="47"/>
        <v>10884.311064000001</v>
      </c>
      <c r="AE64" s="6">
        <f t="shared" si="48"/>
        <v>11047.225464000001</v>
      </c>
      <c r="AF64" s="6">
        <f t="shared" si="49"/>
        <v>11617.425864000001</v>
      </c>
      <c r="AG64" s="6">
        <f t="shared" si="50"/>
        <v>11617.425864000001</v>
      </c>
      <c r="AH64" s="6">
        <f t="shared" si="51"/>
        <v>13910.853330000002</v>
      </c>
      <c r="AI64" s="6">
        <f t="shared" si="52"/>
        <v>13585.024530000001</v>
      </c>
      <c r="AJ64" s="6">
        <f t="shared" si="53"/>
        <v>13747.93893</v>
      </c>
      <c r="AK64" s="6">
        <f t="shared" si="54"/>
        <v>14318.13933</v>
      </c>
      <c r="AL64" s="6">
        <f t="shared" si="55"/>
        <v>14318.13933</v>
      </c>
    </row>
    <row r="65" spans="1:38" x14ac:dyDescent="0.35">
      <c r="A65" s="8" t="s">
        <v>93</v>
      </c>
      <c r="B65" s="2" t="s">
        <v>18</v>
      </c>
      <c r="C65" s="3">
        <v>1.1000000000000001</v>
      </c>
      <c r="D65" s="3">
        <v>100.71</v>
      </c>
      <c r="E65" s="10">
        <v>137.47999999999999</v>
      </c>
      <c r="F65" s="15">
        <v>117.91</v>
      </c>
      <c r="G65" s="15">
        <v>151.94</v>
      </c>
      <c r="H65" s="10">
        <f t="shared" si="56"/>
        <v>189.92500000000001</v>
      </c>
      <c r="I65" s="5">
        <v>5</v>
      </c>
      <c r="J65" s="4">
        <v>1</v>
      </c>
      <c r="K65" s="4">
        <v>3</v>
      </c>
      <c r="L65" s="4">
        <v>10</v>
      </c>
      <c r="M65" s="4">
        <v>10</v>
      </c>
      <c r="N65" s="6">
        <f t="shared" si="57"/>
        <v>8610.8406120000018</v>
      </c>
      <c r="O65" s="6">
        <f t="shared" si="31"/>
        <v>8285.0118120000006</v>
      </c>
      <c r="P65" s="6">
        <f t="shared" si="32"/>
        <v>8447.9262120000003</v>
      </c>
      <c r="Q65" s="6">
        <f t="shared" si="33"/>
        <v>9018.126612</v>
      </c>
      <c r="R65" s="6">
        <f t="shared" si="34"/>
        <v>9018.126612</v>
      </c>
      <c r="S65" s="6">
        <f t="shared" si="36"/>
        <v>11606.021855999998</v>
      </c>
      <c r="T65" s="6">
        <f t="shared" si="37"/>
        <v>11280.193055999998</v>
      </c>
      <c r="U65" s="6">
        <f t="shared" si="38"/>
        <v>11443.107456000002</v>
      </c>
      <c r="V65" s="6">
        <f t="shared" si="39"/>
        <v>12013.307855999998</v>
      </c>
      <c r="W65" s="6">
        <f t="shared" si="40"/>
        <v>12013.307855999998</v>
      </c>
      <c r="X65" s="6">
        <f t="shared" si="41"/>
        <v>10011.904451999999</v>
      </c>
      <c r="Y65" s="6">
        <f t="shared" si="42"/>
        <v>9686.0756519999995</v>
      </c>
      <c r="Z65" s="6">
        <f t="shared" si="43"/>
        <v>9848.990052000001</v>
      </c>
      <c r="AA65" s="6">
        <f t="shared" si="44"/>
        <v>10419.190451999999</v>
      </c>
      <c r="AB65" s="6">
        <f t="shared" si="45"/>
        <v>10419.190451999999</v>
      </c>
      <c r="AC65" s="6">
        <f t="shared" si="46"/>
        <v>12783.892968</v>
      </c>
      <c r="AD65" s="6">
        <f t="shared" si="47"/>
        <v>12458.064167999999</v>
      </c>
      <c r="AE65" s="6">
        <f t="shared" si="48"/>
        <v>12620.978568</v>
      </c>
      <c r="AF65" s="6">
        <f t="shared" si="49"/>
        <v>13191.178968</v>
      </c>
      <c r="AG65" s="6">
        <f t="shared" si="50"/>
        <v>13191.178968</v>
      </c>
      <c r="AH65" s="6">
        <f t="shared" si="51"/>
        <v>15878.044710000002</v>
      </c>
      <c r="AI65" s="6">
        <f t="shared" si="52"/>
        <v>15552.215910000004</v>
      </c>
      <c r="AJ65" s="6">
        <f t="shared" si="53"/>
        <v>15715.130310000004</v>
      </c>
      <c r="AK65" s="6">
        <f t="shared" si="54"/>
        <v>16285.330710000002</v>
      </c>
      <c r="AL65" s="6">
        <f t="shared" si="55"/>
        <v>16285.330710000002</v>
      </c>
    </row>
    <row r="66" spans="1:38" x14ac:dyDescent="0.35">
      <c r="A66" s="8" t="s">
        <v>93</v>
      </c>
      <c r="B66" s="2" t="s">
        <v>20</v>
      </c>
      <c r="C66" s="3">
        <v>1.5</v>
      </c>
      <c r="D66" s="3">
        <v>117.41</v>
      </c>
      <c r="E66" s="10">
        <v>147.94999999999999</v>
      </c>
      <c r="F66" s="15">
        <v>128.88</v>
      </c>
      <c r="G66" s="15">
        <v>163.16</v>
      </c>
      <c r="H66" s="10">
        <f t="shared" si="56"/>
        <v>203.95</v>
      </c>
      <c r="I66" s="5">
        <v>5</v>
      </c>
      <c r="J66" s="4">
        <v>1</v>
      </c>
      <c r="K66" s="4">
        <v>3</v>
      </c>
      <c r="L66" s="4">
        <v>10</v>
      </c>
      <c r="M66" s="4">
        <v>10</v>
      </c>
      <c r="N66" s="6">
        <f t="shared" si="57"/>
        <v>9971.1758520000021</v>
      </c>
      <c r="O66" s="6">
        <f t="shared" si="31"/>
        <v>9645.3470520000028</v>
      </c>
      <c r="P66" s="6">
        <f t="shared" si="32"/>
        <v>9808.2614520000006</v>
      </c>
      <c r="Q66" s="6">
        <f t="shared" si="33"/>
        <v>10378.461852</v>
      </c>
      <c r="R66" s="6">
        <f t="shared" si="34"/>
        <v>10378.461852</v>
      </c>
      <c r="S66" s="6">
        <f t="shared" si="36"/>
        <v>12458.87874</v>
      </c>
      <c r="T66" s="6">
        <f t="shared" si="37"/>
        <v>12133.049940000001</v>
      </c>
      <c r="U66" s="6">
        <f t="shared" si="38"/>
        <v>12295.96434</v>
      </c>
      <c r="V66" s="6">
        <f t="shared" si="39"/>
        <v>12866.16474</v>
      </c>
      <c r="W66" s="6">
        <f t="shared" si="40"/>
        <v>12866.16474</v>
      </c>
      <c r="X66" s="6">
        <f t="shared" si="41"/>
        <v>10905.489936</v>
      </c>
      <c r="Y66" s="6">
        <f t="shared" si="42"/>
        <v>10579.661136000001</v>
      </c>
      <c r="Z66" s="6">
        <f t="shared" si="43"/>
        <v>10742.575536000002</v>
      </c>
      <c r="AA66" s="6">
        <f t="shared" si="44"/>
        <v>11312.775936</v>
      </c>
      <c r="AB66" s="6">
        <f t="shared" si="45"/>
        <v>11312.775936</v>
      </c>
      <c r="AC66" s="6">
        <f t="shared" si="46"/>
        <v>13697.842752000002</v>
      </c>
      <c r="AD66" s="6">
        <f t="shared" si="47"/>
        <v>13372.013951999999</v>
      </c>
      <c r="AE66" s="6">
        <f t="shared" si="48"/>
        <v>13534.928352000001</v>
      </c>
      <c r="AF66" s="6">
        <f t="shared" si="49"/>
        <v>14105.128752000001</v>
      </c>
      <c r="AG66" s="6">
        <f t="shared" si="50"/>
        <v>14105.128752000001</v>
      </c>
      <c r="AH66" s="6">
        <f t="shared" si="51"/>
        <v>17020.481939999998</v>
      </c>
      <c r="AI66" s="6">
        <f t="shared" si="52"/>
        <v>16694.653139999999</v>
      </c>
      <c r="AJ66" s="6">
        <f t="shared" si="53"/>
        <v>16857.56754</v>
      </c>
      <c r="AK66" s="6">
        <f t="shared" si="54"/>
        <v>17427.767940000002</v>
      </c>
      <c r="AL66" s="6">
        <f t="shared" si="55"/>
        <v>17427.767940000002</v>
      </c>
    </row>
    <row r="67" spans="1:38" x14ac:dyDescent="0.35">
      <c r="A67" s="8" t="s">
        <v>93</v>
      </c>
      <c r="B67" s="2" t="s">
        <v>22</v>
      </c>
      <c r="C67" s="3">
        <v>2.2000000000000002</v>
      </c>
      <c r="D67" s="3">
        <v>154.06</v>
      </c>
      <c r="E67" s="10">
        <v>181.23</v>
      </c>
      <c r="F67" s="15">
        <v>164.03</v>
      </c>
      <c r="G67" s="15">
        <v>200.42</v>
      </c>
      <c r="H67" s="10">
        <f t="shared" si="56"/>
        <v>250.52499999999998</v>
      </c>
      <c r="I67" s="5">
        <v>5</v>
      </c>
      <c r="J67" s="4">
        <v>1</v>
      </c>
      <c r="K67" s="4">
        <v>3</v>
      </c>
      <c r="L67" s="4">
        <v>10</v>
      </c>
      <c r="M67" s="4">
        <v>10</v>
      </c>
      <c r="N67" s="6">
        <f t="shared" si="57"/>
        <v>12956.582232000002</v>
      </c>
      <c r="O67" s="6">
        <f t="shared" si="31"/>
        <v>12630.753432000001</v>
      </c>
      <c r="P67" s="6">
        <f t="shared" si="32"/>
        <v>12793.667832000005</v>
      </c>
      <c r="Q67" s="6">
        <f t="shared" si="33"/>
        <v>13363.868232000003</v>
      </c>
      <c r="R67" s="6">
        <f t="shared" si="34"/>
        <v>13363.868232000003</v>
      </c>
      <c r="S67" s="6">
        <f t="shared" si="36"/>
        <v>15169.774356</v>
      </c>
      <c r="T67" s="6">
        <f t="shared" si="37"/>
        <v>14843.945555999999</v>
      </c>
      <c r="U67" s="6">
        <f t="shared" si="38"/>
        <v>15006.859956000002</v>
      </c>
      <c r="V67" s="6">
        <f t="shared" si="39"/>
        <v>15577.060356</v>
      </c>
      <c r="W67" s="6">
        <f t="shared" si="40"/>
        <v>15577.060356</v>
      </c>
      <c r="X67" s="6">
        <f t="shared" si="41"/>
        <v>13768.710516000003</v>
      </c>
      <c r="Y67" s="6">
        <f t="shared" si="42"/>
        <v>13442.881716000002</v>
      </c>
      <c r="Z67" s="6">
        <f t="shared" si="43"/>
        <v>13605.796116</v>
      </c>
      <c r="AA67" s="6">
        <f t="shared" si="44"/>
        <v>14175.996516000003</v>
      </c>
      <c r="AB67" s="6">
        <f t="shared" si="45"/>
        <v>14175.996516000003</v>
      </c>
      <c r="AC67" s="6">
        <f t="shared" si="46"/>
        <v>16732.938023999999</v>
      </c>
      <c r="AD67" s="6">
        <f t="shared" si="47"/>
        <v>16407.109224000003</v>
      </c>
      <c r="AE67" s="6">
        <f t="shared" si="48"/>
        <v>16570.023624000001</v>
      </c>
      <c r="AF67" s="6">
        <f t="shared" si="49"/>
        <v>17140.224023999999</v>
      </c>
      <c r="AG67" s="6">
        <f t="shared" si="50"/>
        <v>17140.224023999999</v>
      </c>
      <c r="AH67" s="6">
        <f t="shared" si="51"/>
        <v>20814.351029999998</v>
      </c>
      <c r="AI67" s="6">
        <f t="shared" si="52"/>
        <v>20488.522230000002</v>
      </c>
      <c r="AJ67" s="6">
        <f t="shared" si="53"/>
        <v>20651.43663</v>
      </c>
      <c r="AK67" s="6">
        <f t="shared" si="54"/>
        <v>21221.637029999998</v>
      </c>
      <c r="AL67" s="6">
        <f t="shared" si="55"/>
        <v>21221.637029999998</v>
      </c>
    </row>
    <row r="68" spans="1:38" x14ac:dyDescent="0.35">
      <c r="A68" s="8" t="s">
        <v>93</v>
      </c>
      <c r="B68" s="2" t="s">
        <v>24</v>
      </c>
      <c r="C68" s="3">
        <v>3</v>
      </c>
      <c r="D68" s="3">
        <v>168.75</v>
      </c>
      <c r="E68" s="10">
        <v>200.17</v>
      </c>
      <c r="F68" s="15">
        <v>175.62</v>
      </c>
      <c r="G68" s="15">
        <v>230.34</v>
      </c>
      <c r="H68" s="10">
        <f t="shared" si="56"/>
        <v>287.92500000000001</v>
      </c>
      <c r="I68" s="5">
        <v>5</v>
      </c>
      <c r="J68" s="4">
        <v>1</v>
      </c>
      <c r="K68" s="4">
        <v>3</v>
      </c>
      <c r="L68" s="4">
        <v>10</v>
      </c>
      <c r="M68" s="4">
        <v>10</v>
      </c>
      <c r="N68" s="6">
        <f t="shared" si="57"/>
        <v>14153.188500000004</v>
      </c>
      <c r="O68" s="6">
        <f t="shared" si="31"/>
        <v>13827.359699999999</v>
      </c>
      <c r="P68" s="6">
        <f t="shared" si="32"/>
        <v>13990.274100000001</v>
      </c>
      <c r="Q68" s="6">
        <f t="shared" si="33"/>
        <v>14560.4745</v>
      </c>
      <c r="R68" s="6">
        <f t="shared" si="34"/>
        <v>14560.4745</v>
      </c>
      <c r="S68" s="6">
        <f t="shared" si="36"/>
        <v>16712.573724000002</v>
      </c>
      <c r="T68" s="6">
        <f t="shared" si="37"/>
        <v>16386.744924000002</v>
      </c>
      <c r="U68" s="6">
        <f t="shared" si="38"/>
        <v>16549.659324</v>
      </c>
      <c r="V68" s="6">
        <f t="shared" si="39"/>
        <v>17119.859724000002</v>
      </c>
      <c r="W68" s="6">
        <f t="shared" si="40"/>
        <v>17119.859724000002</v>
      </c>
      <c r="X68" s="6">
        <f t="shared" si="41"/>
        <v>14712.799464000003</v>
      </c>
      <c r="Y68" s="6">
        <f t="shared" si="42"/>
        <v>14386.970664000002</v>
      </c>
      <c r="Z68" s="6">
        <f t="shared" si="43"/>
        <v>14549.885064000002</v>
      </c>
      <c r="AA68" s="6">
        <f t="shared" si="44"/>
        <v>15120.085464000002</v>
      </c>
      <c r="AB68" s="6">
        <f t="shared" si="45"/>
        <v>15120.085464000002</v>
      </c>
      <c r="AC68" s="6">
        <f t="shared" si="46"/>
        <v>19170.137448000001</v>
      </c>
      <c r="AD68" s="6">
        <f t="shared" si="47"/>
        <v>18844.308648000002</v>
      </c>
      <c r="AE68" s="6">
        <f t="shared" si="48"/>
        <v>19007.223048</v>
      </c>
      <c r="AF68" s="6">
        <f t="shared" si="49"/>
        <v>19577.423448000001</v>
      </c>
      <c r="AG68" s="6">
        <f t="shared" si="50"/>
        <v>19577.423448000001</v>
      </c>
      <c r="AH68" s="6">
        <f t="shared" si="51"/>
        <v>23860.850310000002</v>
      </c>
      <c r="AI68" s="6">
        <f t="shared" si="52"/>
        <v>23535.021510000002</v>
      </c>
      <c r="AJ68" s="6">
        <f t="shared" si="53"/>
        <v>23697.935910000004</v>
      </c>
      <c r="AK68" s="6">
        <f t="shared" si="54"/>
        <v>24268.136310000002</v>
      </c>
      <c r="AL68" s="6">
        <f t="shared" si="55"/>
        <v>24268.136310000002</v>
      </c>
    </row>
    <row r="69" spans="1:38" x14ac:dyDescent="0.35">
      <c r="A69" s="8" t="s">
        <v>93</v>
      </c>
      <c r="B69" s="2" t="s">
        <v>26</v>
      </c>
      <c r="C69" s="3">
        <v>4</v>
      </c>
      <c r="D69" s="3">
        <v>211.27</v>
      </c>
      <c r="E69" s="3">
        <v>265.61</v>
      </c>
      <c r="F69" s="15">
        <v>211.39</v>
      </c>
      <c r="G69" s="15">
        <v>273.58999999999997</v>
      </c>
      <c r="H69" s="10">
        <f t="shared" si="56"/>
        <v>341.98749999999995</v>
      </c>
      <c r="I69" s="5">
        <v>5</v>
      </c>
      <c r="J69" s="4">
        <v>1</v>
      </c>
      <c r="K69" s="4">
        <v>3</v>
      </c>
      <c r="L69" s="4">
        <v>10</v>
      </c>
      <c r="M69" s="4">
        <v>10</v>
      </c>
      <c r="N69" s="6">
        <f t="shared" si="57"/>
        <v>17616.748644000003</v>
      </c>
      <c r="O69" s="6">
        <f t="shared" si="31"/>
        <v>17290.919844000007</v>
      </c>
      <c r="P69" s="6">
        <f t="shared" si="32"/>
        <v>17453.834244000001</v>
      </c>
      <c r="Q69" s="6">
        <f t="shared" si="33"/>
        <v>18024.034644000003</v>
      </c>
      <c r="R69" s="6">
        <f t="shared" si="34"/>
        <v>18024.034644000003</v>
      </c>
      <c r="S69" s="6">
        <f t="shared" si="36"/>
        <v>22043.132892000005</v>
      </c>
      <c r="T69" s="6">
        <f t="shared" si="37"/>
        <v>21717.304092000002</v>
      </c>
      <c r="U69" s="6">
        <f t="shared" si="38"/>
        <v>21880.218492000004</v>
      </c>
      <c r="V69" s="6">
        <f t="shared" si="39"/>
        <v>22450.418892000002</v>
      </c>
      <c r="W69" s="6">
        <f t="shared" si="40"/>
        <v>22450.418892000002</v>
      </c>
      <c r="X69" s="6">
        <f t="shared" si="41"/>
        <v>17626.523508000002</v>
      </c>
      <c r="Y69" s="6">
        <f t="shared" si="42"/>
        <v>17300.694707999999</v>
      </c>
      <c r="Z69" s="6">
        <f t="shared" si="43"/>
        <v>17463.609108000001</v>
      </c>
      <c r="AA69" s="6">
        <f t="shared" si="44"/>
        <v>18033.809508000002</v>
      </c>
      <c r="AB69" s="6">
        <f t="shared" si="45"/>
        <v>18033.809508000002</v>
      </c>
      <c r="AC69" s="6">
        <f t="shared" si="46"/>
        <v>22693.161348000001</v>
      </c>
      <c r="AD69" s="6">
        <f t="shared" si="47"/>
        <v>22367.332548000002</v>
      </c>
      <c r="AE69" s="6">
        <f t="shared" si="48"/>
        <v>22530.246948000004</v>
      </c>
      <c r="AF69" s="6">
        <f t="shared" si="49"/>
        <v>23100.447348000005</v>
      </c>
      <c r="AG69" s="6">
        <f t="shared" si="50"/>
        <v>23100.447348000005</v>
      </c>
      <c r="AH69" s="6">
        <f t="shared" si="51"/>
        <v>28264.630184999991</v>
      </c>
      <c r="AI69" s="6">
        <f t="shared" si="52"/>
        <v>27938.801384999995</v>
      </c>
      <c r="AJ69" s="6">
        <f t="shared" si="53"/>
        <v>28101.715785</v>
      </c>
      <c r="AK69" s="6">
        <f t="shared" si="54"/>
        <v>28671.916184999995</v>
      </c>
      <c r="AL69" s="6">
        <f t="shared" si="55"/>
        <v>28671.916184999995</v>
      </c>
    </row>
    <row r="70" spans="1:38" x14ac:dyDescent="0.35">
      <c r="A70" s="8" t="s">
        <v>93</v>
      </c>
      <c r="B70" s="2" t="s">
        <v>28</v>
      </c>
      <c r="C70" s="3">
        <v>5.5</v>
      </c>
      <c r="D70" s="3">
        <v>295.27999999999997</v>
      </c>
      <c r="E70" s="3">
        <v>323.23</v>
      </c>
      <c r="F70" s="15">
        <v>302.13</v>
      </c>
      <c r="G70" s="15">
        <v>377.41</v>
      </c>
      <c r="H70" s="10">
        <f t="shared" si="56"/>
        <v>471.76250000000005</v>
      </c>
      <c r="I70" s="5">
        <v>5</v>
      </c>
      <c r="J70" s="4">
        <v>1</v>
      </c>
      <c r="K70" s="4">
        <v>3</v>
      </c>
      <c r="L70" s="4">
        <v>10</v>
      </c>
      <c r="M70" s="4">
        <v>10</v>
      </c>
      <c r="N70" s="6">
        <f t="shared" si="57"/>
        <v>24459.968016000003</v>
      </c>
      <c r="O70" s="6">
        <f t="shared" si="31"/>
        <v>24134.139216</v>
      </c>
      <c r="P70" s="6">
        <f t="shared" si="32"/>
        <v>24297.053616000005</v>
      </c>
      <c r="Q70" s="6">
        <f t="shared" si="33"/>
        <v>24867.254016000003</v>
      </c>
      <c r="R70" s="6">
        <f t="shared" si="34"/>
        <v>24867.254016000003</v>
      </c>
      <c r="S70" s="6">
        <f t="shared" si="36"/>
        <v>26736.696756000005</v>
      </c>
      <c r="T70" s="6">
        <f t="shared" si="37"/>
        <v>26410.867956000002</v>
      </c>
      <c r="U70" s="6">
        <f t="shared" si="38"/>
        <v>26573.782356000003</v>
      </c>
      <c r="V70" s="6">
        <f t="shared" si="39"/>
        <v>27143.982756000005</v>
      </c>
      <c r="W70" s="6">
        <f t="shared" si="40"/>
        <v>27143.982756000005</v>
      </c>
      <c r="X70" s="6">
        <f t="shared" si="41"/>
        <v>25017.949835999996</v>
      </c>
      <c r="Y70" s="6">
        <f t="shared" si="42"/>
        <v>24692.121036</v>
      </c>
      <c r="Z70" s="6">
        <f t="shared" si="43"/>
        <v>24855.035435999998</v>
      </c>
      <c r="AA70" s="6">
        <f t="shared" si="44"/>
        <v>25425.235836</v>
      </c>
      <c r="AB70" s="6">
        <f t="shared" si="45"/>
        <v>25425.235836</v>
      </c>
      <c r="AC70" s="6">
        <f t="shared" si="46"/>
        <v>31150.047852000007</v>
      </c>
      <c r="AD70" s="6">
        <f t="shared" si="47"/>
        <v>30824.219052</v>
      </c>
      <c r="AE70" s="6">
        <f t="shared" si="48"/>
        <v>30987.133452000009</v>
      </c>
      <c r="AF70" s="6">
        <f t="shared" si="49"/>
        <v>31557.333852000003</v>
      </c>
      <c r="AG70" s="6">
        <f t="shared" si="50"/>
        <v>31557.333852000003</v>
      </c>
      <c r="AH70" s="6">
        <f t="shared" si="51"/>
        <v>38835.73831500001</v>
      </c>
      <c r="AI70" s="6">
        <f t="shared" si="52"/>
        <v>38509.909515000014</v>
      </c>
      <c r="AJ70" s="6">
        <f t="shared" si="53"/>
        <v>38672.823915000008</v>
      </c>
      <c r="AK70" s="6">
        <f t="shared" si="54"/>
        <v>39243.02431500001</v>
      </c>
      <c r="AL70" s="6">
        <f t="shared" si="55"/>
        <v>39243.02431500001</v>
      </c>
    </row>
    <row r="71" spans="1:38" x14ac:dyDescent="0.35">
      <c r="A71" s="8" t="s">
        <v>93</v>
      </c>
      <c r="B71" s="2" t="s">
        <v>30</v>
      </c>
      <c r="C71" s="3">
        <v>7.5</v>
      </c>
      <c r="D71" s="3">
        <v>329.43</v>
      </c>
      <c r="E71" s="3">
        <v>380.66</v>
      </c>
      <c r="F71" s="15">
        <v>332.79</v>
      </c>
      <c r="G71" s="15">
        <v>421.79</v>
      </c>
      <c r="H71" s="10">
        <f t="shared" si="56"/>
        <v>527.23750000000007</v>
      </c>
      <c r="I71" s="5">
        <v>5</v>
      </c>
      <c r="J71" s="4">
        <v>1</v>
      </c>
      <c r="K71" s="4">
        <v>3</v>
      </c>
      <c r="L71" s="4">
        <v>10</v>
      </c>
      <c r="M71" s="4">
        <v>10</v>
      </c>
      <c r="N71" s="6">
        <f t="shared" si="57"/>
        <v>27241.731396000003</v>
      </c>
      <c r="O71" s="6">
        <f t="shared" si="31"/>
        <v>26915.902596000004</v>
      </c>
      <c r="P71" s="6">
        <f t="shared" si="32"/>
        <v>27078.816996000005</v>
      </c>
      <c r="Q71" s="6">
        <f t="shared" si="33"/>
        <v>27649.017396000007</v>
      </c>
      <c r="R71" s="6">
        <f t="shared" si="34"/>
        <v>27649.017396000007</v>
      </c>
      <c r="S71" s="6">
        <f t="shared" si="36"/>
        <v>31414.783752000007</v>
      </c>
      <c r="T71" s="6">
        <f t="shared" si="37"/>
        <v>31088.954952000004</v>
      </c>
      <c r="U71" s="6">
        <f t="shared" si="38"/>
        <v>31251.869352000009</v>
      </c>
      <c r="V71" s="6">
        <f t="shared" si="39"/>
        <v>31822.069752000003</v>
      </c>
      <c r="W71" s="6">
        <f t="shared" si="40"/>
        <v>31822.069752000003</v>
      </c>
      <c r="X71" s="6">
        <f t="shared" si="41"/>
        <v>27515.427588000006</v>
      </c>
      <c r="Y71" s="6">
        <f t="shared" si="42"/>
        <v>27189.598788000007</v>
      </c>
      <c r="Z71" s="6">
        <f t="shared" si="43"/>
        <v>27352.513188000008</v>
      </c>
      <c r="AA71" s="6">
        <f t="shared" si="44"/>
        <v>27922.713588000002</v>
      </c>
      <c r="AB71" s="6">
        <f t="shared" si="45"/>
        <v>27922.713588000002</v>
      </c>
      <c r="AC71" s="6">
        <f t="shared" si="46"/>
        <v>34765.11838800001</v>
      </c>
      <c r="AD71" s="6">
        <f t="shared" si="47"/>
        <v>34439.289588000014</v>
      </c>
      <c r="AE71" s="6">
        <f t="shared" si="48"/>
        <v>34602.203988000008</v>
      </c>
      <c r="AF71" s="6">
        <f t="shared" si="49"/>
        <v>35172.404388000003</v>
      </c>
      <c r="AG71" s="6">
        <f t="shared" si="50"/>
        <v>35172.404388000003</v>
      </c>
      <c r="AH71" s="6">
        <f t="shared" si="51"/>
        <v>43354.576485000005</v>
      </c>
      <c r="AI71" s="6">
        <f t="shared" si="52"/>
        <v>43028.747685000002</v>
      </c>
      <c r="AJ71" s="6">
        <f t="shared" si="53"/>
        <v>43191.662085000004</v>
      </c>
      <c r="AK71" s="6">
        <f t="shared" si="54"/>
        <v>43761.862485000005</v>
      </c>
      <c r="AL71" s="6">
        <f t="shared" si="55"/>
        <v>43761.862485000005</v>
      </c>
    </row>
    <row r="72" spans="1:38" x14ac:dyDescent="0.35">
      <c r="A72" s="8" t="s">
        <v>93</v>
      </c>
      <c r="B72" s="2" t="s">
        <v>32</v>
      </c>
      <c r="C72" s="3">
        <v>11</v>
      </c>
      <c r="D72" s="3">
        <v>467.53</v>
      </c>
      <c r="E72" s="3">
        <v>556.4</v>
      </c>
      <c r="F72" s="15">
        <v>478</v>
      </c>
      <c r="G72" s="15">
        <v>622.46</v>
      </c>
      <c r="H72" s="10">
        <f t="shared" si="56"/>
        <v>778.07500000000005</v>
      </c>
      <c r="I72" s="5">
        <v>5</v>
      </c>
      <c r="J72" s="4">
        <v>1</v>
      </c>
      <c r="K72" s="4">
        <v>3</v>
      </c>
      <c r="L72" s="4">
        <v>10</v>
      </c>
      <c r="M72" s="4">
        <v>10</v>
      </c>
      <c r="N72" s="6">
        <f t="shared" si="57"/>
        <v>38490.970716000003</v>
      </c>
      <c r="O72" s="6">
        <f t="shared" si="31"/>
        <v>38165.141916000008</v>
      </c>
      <c r="P72" s="6">
        <f t="shared" si="32"/>
        <v>38328.056316000002</v>
      </c>
      <c r="Q72" s="6">
        <f t="shared" si="33"/>
        <v>38898.256716000004</v>
      </c>
      <c r="R72" s="6">
        <f t="shared" si="34"/>
        <v>38898.256716000004</v>
      </c>
      <c r="S72" s="6">
        <f t="shared" si="36"/>
        <v>45730.072080000005</v>
      </c>
      <c r="T72" s="6">
        <f t="shared" si="37"/>
        <v>45404.243280000002</v>
      </c>
      <c r="U72" s="6">
        <f t="shared" si="38"/>
        <v>45567.157680000004</v>
      </c>
      <c r="V72" s="6">
        <f t="shared" si="39"/>
        <v>46137.358080000005</v>
      </c>
      <c r="W72" s="6">
        <f t="shared" si="40"/>
        <v>46137.358080000005</v>
      </c>
      <c r="X72" s="6">
        <f t="shared" si="41"/>
        <v>39343.827599999997</v>
      </c>
      <c r="Y72" s="6">
        <f t="shared" si="42"/>
        <v>39017.998800000001</v>
      </c>
      <c r="Z72" s="6">
        <f t="shared" si="43"/>
        <v>39180.91320000001</v>
      </c>
      <c r="AA72" s="6">
        <f t="shared" si="44"/>
        <v>39751.113600000012</v>
      </c>
      <c r="AB72" s="6">
        <f t="shared" si="45"/>
        <v>39751.113600000012</v>
      </c>
      <c r="AC72" s="6">
        <f t="shared" si="46"/>
        <v>51111.134712000006</v>
      </c>
      <c r="AD72" s="6">
        <f t="shared" si="47"/>
        <v>50785.305912000003</v>
      </c>
      <c r="AE72" s="6">
        <f t="shared" si="48"/>
        <v>50948.220312000012</v>
      </c>
      <c r="AF72" s="6">
        <f t="shared" si="49"/>
        <v>51518.420712000006</v>
      </c>
      <c r="AG72" s="6">
        <f t="shared" si="50"/>
        <v>51518.420712000006</v>
      </c>
      <c r="AH72" s="6">
        <f t="shared" si="51"/>
        <v>63787.096890000008</v>
      </c>
      <c r="AI72" s="6">
        <f t="shared" si="52"/>
        <v>63461.26809000002</v>
      </c>
      <c r="AJ72" s="6">
        <f t="shared" si="53"/>
        <v>63624.182490000021</v>
      </c>
      <c r="AK72" s="6">
        <f t="shared" si="54"/>
        <v>64194.382890000015</v>
      </c>
      <c r="AL72" s="6">
        <f t="shared" si="55"/>
        <v>64194.382890000015</v>
      </c>
    </row>
    <row r="73" spans="1:38" x14ac:dyDescent="0.35">
      <c r="A73" s="8" t="s">
        <v>93</v>
      </c>
      <c r="B73" s="2" t="s">
        <v>34</v>
      </c>
      <c r="C73" s="3">
        <v>15</v>
      </c>
      <c r="D73" s="3">
        <v>550.91999999999996</v>
      </c>
      <c r="E73" s="3">
        <v>643.77</v>
      </c>
      <c r="F73" s="15">
        <v>552.79</v>
      </c>
      <c r="G73" s="15">
        <v>719.56</v>
      </c>
      <c r="H73" s="10">
        <f t="shared" si="56"/>
        <v>899.44999999999993</v>
      </c>
      <c r="I73" s="5">
        <v>5</v>
      </c>
      <c r="J73" s="4">
        <v>1</v>
      </c>
      <c r="K73" s="4">
        <v>3</v>
      </c>
      <c r="L73" s="4">
        <v>10</v>
      </c>
      <c r="M73" s="4">
        <v>10</v>
      </c>
      <c r="N73" s="6">
        <f t="shared" si="57"/>
        <v>45283.686623999994</v>
      </c>
      <c r="O73" s="6">
        <f t="shared" si="31"/>
        <v>44957.857824000006</v>
      </c>
      <c r="P73" s="6">
        <f t="shared" si="32"/>
        <v>45120.772223999993</v>
      </c>
      <c r="Q73" s="6">
        <f t="shared" si="33"/>
        <v>45690.972623999987</v>
      </c>
      <c r="R73" s="6">
        <f t="shared" si="34"/>
        <v>45690.972623999987</v>
      </c>
      <c r="S73" s="6">
        <f t="shared" si="36"/>
        <v>52846.987644000001</v>
      </c>
      <c r="T73" s="6">
        <f t="shared" si="37"/>
        <v>52521.158844000005</v>
      </c>
      <c r="U73" s="6">
        <f t="shared" si="38"/>
        <v>52684.073243999999</v>
      </c>
      <c r="V73" s="6">
        <f t="shared" si="39"/>
        <v>53254.273644000015</v>
      </c>
      <c r="W73" s="6">
        <f t="shared" si="40"/>
        <v>53254.273644000015</v>
      </c>
      <c r="X73" s="6">
        <f t="shared" si="41"/>
        <v>45436.011588000008</v>
      </c>
      <c r="Y73" s="6">
        <f t="shared" si="42"/>
        <v>45110.182788000006</v>
      </c>
      <c r="Z73" s="6">
        <f t="shared" si="43"/>
        <v>45273.097188</v>
      </c>
      <c r="AA73" s="6">
        <f t="shared" si="44"/>
        <v>45843.297588000009</v>
      </c>
      <c r="AB73" s="6">
        <f t="shared" si="45"/>
        <v>45843.297588000009</v>
      </c>
      <c r="AC73" s="6">
        <f t="shared" si="46"/>
        <v>59020.628832000009</v>
      </c>
      <c r="AD73" s="6">
        <f t="shared" si="47"/>
        <v>58694.800032000006</v>
      </c>
      <c r="AE73" s="6">
        <f t="shared" si="48"/>
        <v>58857.714431999993</v>
      </c>
      <c r="AF73" s="6">
        <f t="shared" si="49"/>
        <v>59427.914832000002</v>
      </c>
      <c r="AG73" s="6">
        <f t="shared" si="50"/>
        <v>59427.914832000002</v>
      </c>
      <c r="AH73" s="6">
        <f t="shared" si="51"/>
        <v>73673.964540000015</v>
      </c>
      <c r="AI73" s="6">
        <f t="shared" si="52"/>
        <v>73348.135739999998</v>
      </c>
      <c r="AJ73" s="6">
        <f t="shared" si="53"/>
        <v>73511.050140000007</v>
      </c>
      <c r="AK73" s="6">
        <f t="shared" si="54"/>
        <v>74081.250539999994</v>
      </c>
      <c r="AL73" s="6">
        <f t="shared" si="55"/>
        <v>74081.250539999994</v>
      </c>
    </row>
    <row r="74" spans="1:38" x14ac:dyDescent="0.35">
      <c r="A74" s="8" t="s">
        <v>93</v>
      </c>
      <c r="B74" s="2" t="s">
        <v>36</v>
      </c>
      <c r="C74" s="3">
        <v>18.5</v>
      </c>
      <c r="D74" s="3">
        <v>758.32</v>
      </c>
      <c r="E74" s="3">
        <v>825.13</v>
      </c>
      <c r="F74" s="15">
        <v>675.31</v>
      </c>
      <c r="G74" s="15">
        <v>913.87</v>
      </c>
      <c r="H74" s="10">
        <f t="shared" si="56"/>
        <v>1142.3375000000001</v>
      </c>
      <c r="I74" s="5">
        <v>5</v>
      </c>
      <c r="J74" s="4">
        <v>1</v>
      </c>
      <c r="K74" s="4">
        <v>3</v>
      </c>
      <c r="L74" s="4">
        <v>10</v>
      </c>
      <c r="M74" s="4">
        <v>10</v>
      </c>
      <c r="N74" s="6">
        <f t="shared" si="57"/>
        <v>62177.909904000007</v>
      </c>
      <c r="O74" s="6">
        <f t="shared" si="31"/>
        <v>61852.081104000004</v>
      </c>
      <c r="P74" s="6">
        <f t="shared" si="32"/>
        <v>62014.99550400002</v>
      </c>
      <c r="Q74" s="6">
        <f t="shared" si="33"/>
        <v>62585.195904000015</v>
      </c>
      <c r="R74" s="6">
        <f t="shared" si="34"/>
        <v>62585.195904000015</v>
      </c>
      <c r="S74" s="6">
        <f t="shared" si="36"/>
        <v>67620.065436000004</v>
      </c>
      <c r="T74" s="6">
        <f t="shared" si="37"/>
        <v>67294.236636000016</v>
      </c>
      <c r="U74" s="6">
        <f t="shared" si="38"/>
        <v>67457.151035999996</v>
      </c>
      <c r="V74" s="6">
        <f t="shared" si="39"/>
        <v>68027.351436000012</v>
      </c>
      <c r="W74" s="6">
        <f t="shared" si="40"/>
        <v>68027.351436000012</v>
      </c>
      <c r="X74" s="6">
        <f t="shared" si="41"/>
        <v>55416.147731999998</v>
      </c>
      <c r="Y74" s="6">
        <f t="shared" si="42"/>
        <v>55090.318932000002</v>
      </c>
      <c r="Z74" s="6">
        <f t="shared" si="43"/>
        <v>55253.233332000003</v>
      </c>
      <c r="AA74" s="6">
        <f t="shared" si="44"/>
        <v>55823.433731999998</v>
      </c>
      <c r="AB74" s="6">
        <f t="shared" si="45"/>
        <v>55823.433731999998</v>
      </c>
      <c r="AC74" s="6">
        <f t="shared" si="46"/>
        <v>74848.577364000012</v>
      </c>
      <c r="AD74" s="6">
        <f t="shared" si="47"/>
        <v>74522.748564000009</v>
      </c>
      <c r="AE74" s="6">
        <f t="shared" si="48"/>
        <v>74685.662964000003</v>
      </c>
      <c r="AF74" s="6">
        <f t="shared" si="49"/>
        <v>75255.863364000004</v>
      </c>
      <c r="AG74" s="6">
        <f t="shared" si="50"/>
        <v>75255.863364000004</v>
      </c>
      <c r="AH74" s="6">
        <f t="shared" si="51"/>
        <v>93458.900205000013</v>
      </c>
      <c r="AI74" s="6">
        <f t="shared" si="52"/>
        <v>93133.071405000024</v>
      </c>
      <c r="AJ74" s="6">
        <f t="shared" si="53"/>
        <v>93295.985805000018</v>
      </c>
      <c r="AK74" s="6">
        <f t="shared" si="54"/>
        <v>93866.186205000005</v>
      </c>
      <c r="AL74" s="6">
        <f t="shared" si="55"/>
        <v>93866.186205000005</v>
      </c>
    </row>
    <row r="75" spans="1:38" x14ac:dyDescent="0.35">
      <c r="A75" s="8" t="s">
        <v>93</v>
      </c>
      <c r="B75" s="2" t="s">
        <v>38</v>
      </c>
      <c r="C75" s="3">
        <v>22</v>
      </c>
      <c r="D75" s="3">
        <v>844.2</v>
      </c>
      <c r="E75" s="3">
        <v>890.19</v>
      </c>
      <c r="F75" s="15">
        <v>745.61</v>
      </c>
      <c r="G75" s="15">
        <v>954.63</v>
      </c>
      <c r="H75" s="10">
        <f t="shared" si="56"/>
        <v>1193.2874999999999</v>
      </c>
      <c r="I75" s="5">
        <v>5</v>
      </c>
      <c r="J75" s="4">
        <v>1</v>
      </c>
      <c r="K75" s="4">
        <v>3</v>
      </c>
      <c r="L75" s="4">
        <v>10</v>
      </c>
      <c r="M75" s="4">
        <v>10</v>
      </c>
      <c r="N75" s="6">
        <f t="shared" si="57"/>
        <v>69173.454240000021</v>
      </c>
      <c r="O75" s="6">
        <f t="shared" si="31"/>
        <v>68847.625440000003</v>
      </c>
      <c r="P75" s="6">
        <f t="shared" si="32"/>
        <v>69010.539840000012</v>
      </c>
      <c r="Q75" s="6">
        <f t="shared" si="33"/>
        <v>69580.740240000014</v>
      </c>
      <c r="R75" s="6">
        <f t="shared" si="34"/>
        <v>69580.740240000014</v>
      </c>
      <c r="S75" s="6">
        <f t="shared" si="36"/>
        <v>72919.670868000016</v>
      </c>
      <c r="T75" s="6">
        <f t="shared" si="37"/>
        <v>72593.842068000013</v>
      </c>
      <c r="U75" s="6">
        <f t="shared" si="38"/>
        <v>72756.756468000021</v>
      </c>
      <c r="V75" s="6">
        <f t="shared" si="39"/>
        <v>73326.956868000008</v>
      </c>
      <c r="W75" s="6">
        <f t="shared" si="40"/>
        <v>73326.956868000008</v>
      </c>
      <c r="X75" s="6">
        <f t="shared" si="41"/>
        <v>61142.588892000007</v>
      </c>
      <c r="Y75" s="6">
        <f t="shared" si="42"/>
        <v>60816.760091999997</v>
      </c>
      <c r="Z75" s="6">
        <f t="shared" si="43"/>
        <v>60979.674492000013</v>
      </c>
      <c r="AA75" s="6">
        <f t="shared" si="44"/>
        <v>61549.874892000007</v>
      </c>
      <c r="AB75" s="6">
        <f t="shared" si="45"/>
        <v>61549.874892000007</v>
      </c>
      <c r="AC75" s="6">
        <f t="shared" si="46"/>
        <v>78168.772836000004</v>
      </c>
      <c r="AD75" s="6">
        <f t="shared" si="47"/>
        <v>77842.944036000015</v>
      </c>
      <c r="AE75" s="6">
        <f t="shared" si="48"/>
        <v>78005.85843600001</v>
      </c>
      <c r="AF75" s="6">
        <f t="shared" si="49"/>
        <v>78576.058836000011</v>
      </c>
      <c r="AG75" s="6">
        <f t="shared" si="50"/>
        <v>78576.058836000011</v>
      </c>
      <c r="AH75" s="6">
        <f t="shared" si="51"/>
        <v>97609.144545000017</v>
      </c>
      <c r="AI75" s="6">
        <f t="shared" si="52"/>
        <v>97283.315744999985</v>
      </c>
      <c r="AJ75" s="6">
        <f t="shared" si="53"/>
        <v>97446.230145000009</v>
      </c>
      <c r="AK75" s="6">
        <f t="shared" si="54"/>
        <v>98016.430544999996</v>
      </c>
      <c r="AL75" s="6">
        <f t="shared" si="55"/>
        <v>98016.430544999996</v>
      </c>
    </row>
    <row r="76" spans="1:38" x14ac:dyDescent="0.35">
      <c r="A76" s="8" t="s">
        <v>93</v>
      </c>
      <c r="B76" s="2" t="s">
        <v>40</v>
      </c>
      <c r="C76" s="3">
        <v>30</v>
      </c>
      <c r="D76" s="3">
        <v>1012.34</v>
      </c>
      <c r="E76" s="3">
        <v>1123.52</v>
      </c>
      <c r="F76" s="15">
        <v>1023.31</v>
      </c>
      <c r="G76" s="15">
        <v>1258.1300000000001</v>
      </c>
      <c r="H76" s="10">
        <f t="shared" si="56"/>
        <v>1572.6625000000001</v>
      </c>
      <c r="I76" s="5">
        <v>5</v>
      </c>
      <c r="J76" s="4">
        <v>1</v>
      </c>
      <c r="K76" s="4">
        <v>3</v>
      </c>
      <c r="L76" s="4">
        <v>10</v>
      </c>
      <c r="M76" s="4">
        <v>10</v>
      </c>
      <c r="N76" s="6">
        <f t="shared" si="57"/>
        <v>82869.667847999997</v>
      </c>
      <c r="O76" s="6">
        <f t="shared" si="31"/>
        <v>82543.839048000023</v>
      </c>
      <c r="P76" s="6">
        <f t="shared" si="32"/>
        <v>82706.753448000003</v>
      </c>
      <c r="Q76" s="6">
        <f t="shared" si="33"/>
        <v>83276.953848000005</v>
      </c>
      <c r="R76" s="6">
        <f t="shared" si="34"/>
        <v>83276.953848000005</v>
      </c>
      <c r="S76" s="6">
        <f t="shared" si="36"/>
        <v>91926.079343999998</v>
      </c>
      <c r="T76" s="6">
        <f t="shared" si="37"/>
        <v>91600.25054400001</v>
      </c>
      <c r="U76" s="6">
        <f t="shared" si="38"/>
        <v>91763.164944000004</v>
      </c>
      <c r="V76" s="6">
        <f t="shared" si="39"/>
        <v>92333.365343999991</v>
      </c>
      <c r="W76" s="6">
        <f t="shared" si="40"/>
        <v>92333.365343999991</v>
      </c>
      <c r="X76" s="6">
        <f t="shared" si="41"/>
        <v>83763.253331999993</v>
      </c>
      <c r="Y76" s="6">
        <f t="shared" si="42"/>
        <v>83437.424532000005</v>
      </c>
      <c r="Z76" s="6">
        <f t="shared" si="43"/>
        <v>83600.338932000013</v>
      </c>
      <c r="AA76" s="6">
        <f t="shared" si="44"/>
        <v>84170.539332</v>
      </c>
      <c r="AB76" s="6">
        <f t="shared" si="45"/>
        <v>84170.539332</v>
      </c>
      <c r="AC76" s="6">
        <f t="shared" si="46"/>
        <v>102891.03303600001</v>
      </c>
      <c r="AD76" s="6">
        <f t="shared" si="47"/>
        <v>102565.20423600001</v>
      </c>
      <c r="AE76" s="6">
        <f t="shared" si="48"/>
        <v>102728.11863600001</v>
      </c>
      <c r="AF76" s="6">
        <f t="shared" si="49"/>
        <v>103298.31903600002</v>
      </c>
      <c r="AG76" s="6">
        <f t="shared" si="50"/>
        <v>103298.31903600002</v>
      </c>
      <c r="AH76" s="6">
        <f t="shared" si="51"/>
        <v>128511.96979500003</v>
      </c>
      <c r="AI76" s="6">
        <f t="shared" si="52"/>
        <v>128186.14099500001</v>
      </c>
      <c r="AJ76" s="6">
        <f t="shared" si="53"/>
        <v>128349.055395</v>
      </c>
      <c r="AK76" s="6">
        <f t="shared" si="54"/>
        <v>128919.255795</v>
      </c>
      <c r="AL76" s="6">
        <f t="shared" si="55"/>
        <v>128919.255795</v>
      </c>
    </row>
    <row r="77" spans="1:38" x14ac:dyDescent="0.35">
      <c r="A77" s="8" t="s">
        <v>93</v>
      </c>
      <c r="B77" s="2" t="s">
        <v>42</v>
      </c>
      <c r="C77" s="3">
        <v>37</v>
      </c>
      <c r="D77" s="3">
        <v>1133.8699999999999</v>
      </c>
      <c r="E77" s="3">
        <v>1388.26</v>
      </c>
      <c r="F77" s="15">
        <v>1223.3599999999999</v>
      </c>
      <c r="G77" s="15">
        <v>1550.92</v>
      </c>
      <c r="H77" s="10">
        <f t="shared" si="56"/>
        <v>1938.65</v>
      </c>
      <c r="I77" s="5">
        <v>5</v>
      </c>
      <c r="J77" s="4">
        <v>1</v>
      </c>
      <c r="K77" s="4">
        <v>3</v>
      </c>
      <c r="L77" s="4">
        <v>10</v>
      </c>
      <c r="M77" s="4">
        <v>10</v>
      </c>
      <c r="N77" s="6">
        <f t="shared" si="57"/>
        <v>92769.161364</v>
      </c>
      <c r="O77" s="6">
        <f t="shared" si="31"/>
        <v>92443.332564000011</v>
      </c>
      <c r="P77" s="6">
        <f t="shared" si="32"/>
        <v>92606.246964000005</v>
      </c>
      <c r="Q77" s="6">
        <f t="shared" si="33"/>
        <v>93176.447364000007</v>
      </c>
      <c r="R77" s="6">
        <f t="shared" si="34"/>
        <v>93176.447364000007</v>
      </c>
      <c r="S77" s="6">
        <f t="shared" si="36"/>
        <v>113491.058472</v>
      </c>
      <c r="T77" s="6">
        <f t="shared" si="37"/>
        <v>113165.22967200003</v>
      </c>
      <c r="U77" s="6">
        <f t="shared" si="38"/>
        <v>113328.14407200001</v>
      </c>
      <c r="V77" s="6">
        <f t="shared" si="39"/>
        <v>113898.34447200001</v>
      </c>
      <c r="W77" s="6">
        <f t="shared" si="40"/>
        <v>113898.34447200001</v>
      </c>
      <c r="X77" s="6">
        <f t="shared" si="41"/>
        <v>100058.76619200001</v>
      </c>
      <c r="Y77" s="6">
        <f t="shared" si="42"/>
        <v>99732.937392000022</v>
      </c>
      <c r="Z77" s="6">
        <f t="shared" si="43"/>
        <v>99895.851792000016</v>
      </c>
      <c r="AA77" s="6">
        <f t="shared" si="44"/>
        <v>100466.052192</v>
      </c>
      <c r="AB77" s="6">
        <f t="shared" si="45"/>
        <v>100466.052192</v>
      </c>
      <c r="AC77" s="6">
        <f t="shared" si="46"/>
        <v>126740.88662400002</v>
      </c>
      <c r="AD77" s="6">
        <f t="shared" si="47"/>
        <v>126415.057824</v>
      </c>
      <c r="AE77" s="6">
        <f t="shared" si="48"/>
        <v>126577.972224</v>
      </c>
      <c r="AF77" s="6">
        <f t="shared" si="49"/>
        <v>127148.17262400004</v>
      </c>
      <c r="AG77" s="6">
        <f t="shared" si="50"/>
        <v>127148.17262400004</v>
      </c>
      <c r="AH77" s="6">
        <f t="shared" si="51"/>
        <v>158324.28678000002</v>
      </c>
      <c r="AI77" s="6">
        <f t="shared" si="52"/>
        <v>157998.45798000004</v>
      </c>
      <c r="AJ77" s="6">
        <f t="shared" si="53"/>
        <v>158161.37238000002</v>
      </c>
      <c r="AK77" s="6">
        <f t="shared" si="54"/>
        <v>158731.57278000002</v>
      </c>
      <c r="AL77" s="6">
        <f t="shared" si="55"/>
        <v>158731.57278000002</v>
      </c>
    </row>
    <row r="78" spans="1:38" x14ac:dyDescent="0.35">
      <c r="A78" s="8" t="s">
        <v>93</v>
      </c>
      <c r="B78" s="2" t="s">
        <v>44</v>
      </c>
      <c r="C78" s="3">
        <v>45</v>
      </c>
      <c r="D78" s="3">
        <v>1308.8599999999999</v>
      </c>
      <c r="E78" s="3">
        <v>1553.16</v>
      </c>
      <c r="F78" s="15">
        <v>1453.57</v>
      </c>
      <c r="G78" s="15">
        <v>1734.14</v>
      </c>
      <c r="H78" s="10">
        <f t="shared" si="56"/>
        <v>2167.6750000000002</v>
      </c>
      <c r="I78" s="5">
        <v>5</v>
      </c>
      <c r="J78" s="4">
        <v>1</v>
      </c>
      <c r="K78" s="4">
        <v>3</v>
      </c>
      <c r="L78" s="4">
        <v>10</v>
      </c>
      <c r="M78" s="4">
        <v>10</v>
      </c>
      <c r="N78" s="6">
        <f t="shared" si="57"/>
        <v>107023.35679200001</v>
      </c>
      <c r="O78" s="6">
        <f t="shared" si="31"/>
        <v>106697.527992</v>
      </c>
      <c r="P78" s="6">
        <f t="shared" si="32"/>
        <v>106860.44239200001</v>
      </c>
      <c r="Q78" s="6">
        <f t="shared" si="33"/>
        <v>107430.64279200001</v>
      </c>
      <c r="R78" s="6">
        <f t="shared" si="34"/>
        <v>107430.64279200001</v>
      </c>
      <c r="S78" s="6">
        <f t="shared" si="36"/>
        <v>126923.35075200001</v>
      </c>
      <c r="T78" s="6">
        <f t="shared" si="37"/>
        <v>126597.52195200001</v>
      </c>
      <c r="U78" s="6">
        <f t="shared" si="38"/>
        <v>126760.43635200002</v>
      </c>
      <c r="V78" s="6">
        <f t="shared" si="39"/>
        <v>127330.63675200002</v>
      </c>
      <c r="W78" s="6">
        <f t="shared" si="40"/>
        <v>127330.63675200002</v>
      </c>
      <c r="X78" s="6">
        <f t="shared" si="41"/>
        <v>118811.02820400002</v>
      </c>
      <c r="Y78" s="6">
        <f t="shared" si="42"/>
        <v>118485.199404</v>
      </c>
      <c r="Z78" s="6">
        <f t="shared" si="43"/>
        <v>118648.11380400002</v>
      </c>
      <c r="AA78" s="6">
        <f t="shared" si="44"/>
        <v>119218.31420400001</v>
      </c>
      <c r="AB78" s="6">
        <f t="shared" si="45"/>
        <v>119218.31420400001</v>
      </c>
      <c r="AC78" s="6">
        <f t="shared" si="46"/>
        <v>141665.474808</v>
      </c>
      <c r="AD78" s="6">
        <f t="shared" si="47"/>
        <v>141339.64600800001</v>
      </c>
      <c r="AE78" s="6">
        <f t="shared" si="48"/>
        <v>141502.56040800002</v>
      </c>
      <c r="AF78" s="6">
        <f t="shared" si="49"/>
        <v>142072.76080800002</v>
      </c>
      <c r="AG78" s="6">
        <f t="shared" si="50"/>
        <v>142072.76080800002</v>
      </c>
      <c r="AH78" s="6">
        <f t="shared" si="51"/>
        <v>176980.02201000004</v>
      </c>
      <c r="AI78" s="6">
        <f t="shared" si="52"/>
        <v>176654.19321000003</v>
      </c>
      <c r="AJ78" s="6">
        <f t="shared" si="53"/>
        <v>176817.10761000004</v>
      </c>
      <c r="AK78" s="6">
        <f t="shared" si="54"/>
        <v>177387.30801000007</v>
      </c>
      <c r="AL78" s="6">
        <f t="shared" si="55"/>
        <v>177387.30801000007</v>
      </c>
    </row>
    <row r="79" spans="1:38" x14ac:dyDescent="0.35">
      <c r="A79" s="8" t="s">
        <v>93</v>
      </c>
      <c r="B79" s="2" t="s">
        <v>46</v>
      </c>
      <c r="C79" s="3">
        <v>55</v>
      </c>
      <c r="D79" s="3">
        <v>1617.1</v>
      </c>
      <c r="E79" s="3">
        <v>1941.17</v>
      </c>
      <c r="F79" s="15">
        <v>1681.29</v>
      </c>
      <c r="G79" s="15">
        <v>2149.1999999999998</v>
      </c>
      <c r="H79" s="10">
        <f t="shared" si="56"/>
        <v>2686.5</v>
      </c>
      <c r="I79" s="5">
        <v>5</v>
      </c>
      <c r="J79" s="4">
        <v>1</v>
      </c>
      <c r="K79" s="4">
        <v>3</v>
      </c>
      <c r="L79" s="4">
        <v>10</v>
      </c>
      <c r="M79" s="4">
        <v>10</v>
      </c>
      <c r="N79" s="6">
        <f t="shared" si="57"/>
        <v>132131.72412000003</v>
      </c>
      <c r="O79" s="6">
        <f t="shared" si="31"/>
        <v>131805.89532000001</v>
      </c>
      <c r="P79" s="6">
        <f t="shared" si="32"/>
        <v>131968.80972000002</v>
      </c>
      <c r="Q79" s="6">
        <f t="shared" si="33"/>
        <v>132539.01012000002</v>
      </c>
      <c r="R79" s="6">
        <f t="shared" si="34"/>
        <v>132539.01012000002</v>
      </c>
      <c r="S79" s="6">
        <f t="shared" si="36"/>
        <v>158529.55892400001</v>
      </c>
      <c r="T79" s="6">
        <f t="shared" si="37"/>
        <v>158203.73012400002</v>
      </c>
      <c r="U79" s="6">
        <f t="shared" si="38"/>
        <v>158366.644524</v>
      </c>
      <c r="V79" s="6">
        <f t="shared" si="39"/>
        <v>158936.844924</v>
      </c>
      <c r="W79" s="6">
        <f t="shared" si="40"/>
        <v>158936.844924</v>
      </c>
      <c r="X79" s="6">
        <f t="shared" si="41"/>
        <v>137360.46178800002</v>
      </c>
      <c r="Y79" s="6">
        <f t="shared" si="42"/>
        <v>137034.632988</v>
      </c>
      <c r="Z79" s="6">
        <f t="shared" si="43"/>
        <v>137197.54738800001</v>
      </c>
      <c r="AA79" s="6">
        <f t="shared" si="44"/>
        <v>137767.74778800004</v>
      </c>
      <c r="AB79" s="6">
        <f t="shared" si="45"/>
        <v>137767.74778800004</v>
      </c>
      <c r="AC79" s="6">
        <f t="shared" si="46"/>
        <v>175475.10023999997</v>
      </c>
      <c r="AD79" s="6">
        <f t="shared" si="47"/>
        <v>175149.27143999998</v>
      </c>
      <c r="AE79" s="6">
        <f t="shared" si="48"/>
        <v>175312.18583999999</v>
      </c>
      <c r="AF79" s="6">
        <f t="shared" si="49"/>
        <v>175882.38623999999</v>
      </c>
      <c r="AG79" s="6">
        <f t="shared" si="50"/>
        <v>175882.38623999999</v>
      </c>
      <c r="AH79" s="6">
        <f t="shared" si="51"/>
        <v>219242.05380000002</v>
      </c>
      <c r="AI79" s="6">
        <f t="shared" si="52"/>
        <v>218916.22500000003</v>
      </c>
      <c r="AJ79" s="6">
        <f t="shared" si="53"/>
        <v>219079.13940000004</v>
      </c>
      <c r="AK79" s="6">
        <f t="shared" si="54"/>
        <v>219649.33980000002</v>
      </c>
      <c r="AL79" s="6">
        <f t="shared" si="55"/>
        <v>219649.33980000002</v>
      </c>
    </row>
    <row r="80" spans="1:38" x14ac:dyDescent="0.35">
      <c r="A80" s="8" t="s">
        <v>93</v>
      </c>
      <c r="B80" s="2" t="s">
        <v>48</v>
      </c>
      <c r="C80" s="3">
        <v>75</v>
      </c>
      <c r="D80" s="3">
        <v>2189.21</v>
      </c>
      <c r="E80" s="3">
        <v>2358.34</v>
      </c>
      <c r="F80" s="15">
        <v>2120.2800000000002</v>
      </c>
      <c r="G80" s="15">
        <v>2700.24</v>
      </c>
      <c r="H80" s="10">
        <f t="shared" si="56"/>
        <v>3375.2999999999997</v>
      </c>
      <c r="I80" s="5">
        <v>5</v>
      </c>
      <c r="J80" s="4">
        <v>1</v>
      </c>
      <c r="K80" s="4">
        <v>3</v>
      </c>
      <c r="L80" s="4">
        <v>10</v>
      </c>
      <c r="M80" s="4">
        <v>10</v>
      </c>
      <c r="N80" s="6">
        <f t="shared" si="57"/>
        <v>178734.20281200006</v>
      </c>
      <c r="O80" s="6">
        <f t="shared" si="31"/>
        <v>178408.37401200004</v>
      </c>
      <c r="P80" s="6">
        <f t="shared" si="32"/>
        <v>178571.28841200005</v>
      </c>
      <c r="Q80" s="6">
        <f t="shared" si="33"/>
        <v>179141.48881200003</v>
      </c>
      <c r="R80" s="6">
        <f t="shared" si="34"/>
        <v>179141.48881200003</v>
      </c>
      <c r="S80" s="6">
        <f t="shared" si="36"/>
        <v>192511.05904800005</v>
      </c>
      <c r="T80" s="6">
        <f t="shared" si="37"/>
        <v>192185.23024799998</v>
      </c>
      <c r="U80" s="6">
        <f t="shared" si="38"/>
        <v>192348.14464800004</v>
      </c>
      <c r="V80" s="6">
        <f t="shared" si="39"/>
        <v>192918.34504800005</v>
      </c>
      <c r="W80" s="6">
        <f t="shared" si="40"/>
        <v>192918.34504800005</v>
      </c>
      <c r="X80" s="6">
        <f t="shared" si="41"/>
        <v>173119.35801600004</v>
      </c>
      <c r="Y80" s="6">
        <f t="shared" si="42"/>
        <v>172793.52921600002</v>
      </c>
      <c r="Z80" s="6">
        <f t="shared" si="43"/>
        <v>172956.44361600003</v>
      </c>
      <c r="AA80" s="6">
        <f t="shared" si="44"/>
        <v>173526.64401600003</v>
      </c>
      <c r="AB80" s="6">
        <f t="shared" si="45"/>
        <v>173526.64401600003</v>
      </c>
      <c r="AC80" s="6">
        <f t="shared" si="46"/>
        <v>220361.27572800001</v>
      </c>
      <c r="AD80" s="6">
        <f t="shared" si="47"/>
        <v>220035.44692800002</v>
      </c>
      <c r="AE80" s="6">
        <f t="shared" si="48"/>
        <v>220198.36132800003</v>
      </c>
      <c r="AF80" s="6">
        <f t="shared" si="49"/>
        <v>220768.561728</v>
      </c>
      <c r="AG80" s="6">
        <f t="shared" si="50"/>
        <v>220768.561728</v>
      </c>
      <c r="AH80" s="6">
        <f t="shared" si="51"/>
        <v>275349.77315999998</v>
      </c>
      <c r="AI80" s="6">
        <f t="shared" si="52"/>
        <v>275023.94436000002</v>
      </c>
      <c r="AJ80" s="6">
        <f t="shared" si="53"/>
        <v>275186.85876000003</v>
      </c>
      <c r="AK80" s="6">
        <f t="shared" si="54"/>
        <v>275757.05916</v>
      </c>
      <c r="AL80" s="6">
        <f t="shared" si="55"/>
        <v>275757.05916</v>
      </c>
    </row>
    <row r="81" spans="1:38" x14ac:dyDescent="0.35">
      <c r="A81" s="8" t="s">
        <v>93</v>
      </c>
      <c r="B81" s="2" t="s">
        <v>50</v>
      </c>
      <c r="C81" s="3">
        <v>90</v>
      </c>
      <c r="D81" s="3">
        <v>2252.52</v>
      </c>
      <c r="E81" s="3">
        <v>2707.72</v>
      </c>
      <c r="F81" s="15">
        <v>2404.09</v>
      </c>
      <c r="G81" s="15">
        <v>3062.57</v>
      </c>
      <c r="H81" s="10">
        <f t="shared" si="56"/>
        <v>3828.2125000000001</v>
      </c>
      <c r="I81" s="5">
        <v>5</v>
      </c>
      <c r="J81" s="4">
        <v>1</v>
      </c>
      <c r="K81" s="4">
        <v>3</v>
      </c>
      <c r="L81" s="4">
        <v>10</v>
      </c>
      <c r="M81" s="4">
        <v>10</v>
      </c>
      <c r="N81" s="6">
        <f t="shared" si="57"/>
        <v>183891.25814400002</v>
      </c>
      <c r="O81" s="6">
        <f t="shared" si="31"/>
        <v>183565.42934400003</v>
      </c>
      <c r="P81" s="6">
        <f t="shared" si="32"/>
        <v>183728.34374400001</v>
      </c>
      <c r="Q81" s="6">
        <f t="shared" si="33"/>
        <v>184298.54414400001</v>
      </c>
      <c r="R81" s="6">
        <f t="shared" si="34"/>
        <v>184298.54414400001</v>
      </c>
      <c r="S81" s="6">
        <f t="shared" si="36"/>
        <v>220970.57558400001</v>
      </c>
      <c r="T81" s="6">
        <f t="shared" si="37"/>
        <v>220644.74678400002</v>
      </c>
      <c r="U81" s="6">
        <f t="shared" si="38"/>
        <v>220807.66118400003</v>
      </c>
      <c r="V81" s="6">
        <f t="shared" si="39"/>
        <v>221377.861584</v>
      </c>
      <c r="W81" s="6">
        <f t="shared" si="40"/>
        <v>221377.861584</v>
      </c>
      <c r="X81" s="6">
        <f t="shared" si="41"/>
        <v>196237.72594800001</v>
      </c>
      <c r="Y81" s="6">
        <f t="shared" si="42"/>
        <v>195911.89714800002</v>
      </c>
      <c r="Z81" s="6">
        <f t="shared" si="43"/>
        <v>196074.81154800006</v>
      </c>
      <c r="AA81" s="6">
        <f t="shared" si="44"/>
        <v>196645.011948</v>
      </c>
      <c r="AB81" s="6">
        <f t="shared" si="45"/>
        <v>196645.011948</v>
      </c>
      <c r="AC81" s="6">
        <f t="shared" si="46"/>
        <v>249875.66300400009</v>
      </c>
      <c r="AD81" s="6">
        <f t="shared" si="47"/>
        <v>249549.8342040001</v>
      </c>
      <c r="AE81" s="6">
        <f t="shared" si="48"/>
        <v>249712.74860400008</v>
      </c>
      <c r="AF81" s="6">
        <f t="shared" si="49"/>
        <v>250282.94900400005</v>
      </c>
      <c r="AG81" s="6">
        <f t="shared" si="50"/>
        <v>250282.94900400005</v>
      </c>
      <c r="AH81" s="6">
        <f t="shared" si="51"/>
        <v>312242.75725500006</v>
      </c>
      <c r="AI81" s="6">
        <f t="shared" si="52"/>
        <v>311916.92845500004</v>
      </c>
      <c r="AJ81" s="6">
        <f t="shared" si="53"/>
        <v>312079.84285500005</v>
      </c>
      <c r="AK81" s="6">
        <f t="shared" si="54"/>
        <v>312650.04325500008</v>
      </c>
      <c r="AL81" s="6">
        <f t="shared" si="55"/>
        <v>312650.04325500008</v>
      </c>
    </row>
    <row r="82" spans="1:38" x14ac:dyDescent="0.35">
      <c r="A82" s="8" t="s">
        <v>93</v>
      </c>
      <c r="B82" s="2" t="s">
        <v>98</v>
      </c>
      <c r="C82" s="3">
        <v>0.55000000000000004</v>
      </c>
      <c r="D82" s="3">
        <v>83.51</v>
      </c>
      <c r="E82" s="3">
        <v>116.42</v>
      </c>
      <c r="F82" s="15">
        <v>110.06</v>
      </c>
      <c r="G82" s="15">
        <v>133.12</v>
      </c>
      <c r="H82" s="10">
        <f t="shared" si="56"/>
        <v>166.4</v>
      </c>
      <c r="I82" s="5">
        <v>5</v>
      </c>
      <c r="J82" s="4">
        <v>1</v>
      </c>
      <c r="K82" s="4">
        <v>3</v>
      </c>
      <c r="L82" s="4">
        <v>10</v>
      </c>
      <c r="M82" s="4">
        <v>10</v>
      </c>
      <c r="N82" s="6">
        <f t="shared" si="57"/>
        <v>7209.7767720000011</v>
      </c>
      <c r="O82" s="6">
        <f t="shared" si="31"/>
        <v>6883.9479720000018</v>
      </c>
      <c r="P82" s="6">
        <f t="shared" si="32"/>
        <v>7046.8623720000005</v>
      </c>
      <c r="Q82" s="6">
        <f t="shared" si="33"/>
        <v>7617.062772000002</v>
      </c>
      <c r="R82" s="6">
        <f t="shared" si="34"/>
        <v>7617.062772000002</v>
      </c>
      <c r="S82" s="6">
        <f t="shared" si="36"/>
        <v>9890.5332240000007</v>
      </c>
      <c r="T82" s="6">
        <f t="shared" si="37"/>
        <v>9564.7044239999996</v>
      </c>
      <c r="U82" s="6">
        <f t="shared" si="38"/>
        <v>9727.6188240000029</v>
      </c>
      <c r="V82" s="6">
        <f t="shared" si="39"/>
        <v>10297.819224000001</v>
      </c>
      <c r="W82" s="6">
        <f t="shared" si="40"/>
        <v>10297.819224000001</v>
      </c>
      <c r="X82" s="6">
        <f t="shared" si="41"/>
        <v>9372.4654320000027</v>
      </c>
      <c r="Y82" s="6">
        <f t="shared" si="42"/>
        <v>9046.6366319999997</v>
      </c>
      <c r="Z82" s="6">
        <f t="shared" si="43"/>
        <v>9209.5510320000012</v>
      </c>
      <c r="AA82" s="6">
        <f t="shared" si="44"/>
        <v>9779.7514320000009</v>
      </c>
      <c r="AB82" s="6">
        <f t="shared" si="45"/>
        <v>9779.7514320000009</v>
      </c>
      <c r="AC82" s="6">
        <f t="shared" si="46"/>
        <v>11250.868464000001</v>
      </c>
      <c r="AD82" s="6">
        <f t="shared" si="47"/>
        <v>10925.039664000002</v>
      </c>
      <c r="AE82" s="6">
        <f t="shared" si="48"/>
        <v>11087.954064000003</v>
      </c>
      <c r="AF82" s="6">
        <f t="shared" si="49"/>
        <v>11658.154464000001</v>
      </c>
      <c r="AG82" s="6">
        <f t="shared" si="50"/>
        <v>11658.154464000001</v>
      </c>
      <c r="AH82" s="6">
        <f t="shared" si="51"/>
        <v>13961.764080000001</v>
      </c>
      <c r="AI82" s="6">
        <f t="shared" si="52"/>
        <v>13635.93528</v>
      </c>
      <c r="AJ82" s="6">
        <f t="shared" si="53"/>
        <v>13798.849680000001</v>
      </c>
      <c r="AK82" s="6">
        <f t="shared" si="54"/>
        <v>14369.050080000001</v>
      </c>
      <c r="AL82" s="6">
        <f t="shared" si="55"/>
        <v>14369.050080000001</v>
      </c>
    </row>
    <row r="83" spans="1:38" x14ac:dyDescent="0.35">
      <c r="A83" s="8" t="s">
        <v>93</v>
      </c>
      <c r="B83" s="2" t="s">
        <v>54</v>
      </c>
      <c r="C83" s="3">
        <v>0.75</v>
      </c>
      <c r="D83" s="3">
        <v>98.84</v>
      </c>
      <c r="E83" s="3">
        <v>134.72</v>
      </c>
      <c r="F83" s="15">
        <v>126.76</v>
      </c>
      <c r="G83" s="15">
        <v>161.16</v>
      </c>
      <c r="H83" s="10">
        <f t="shared" si="56"/>
        <v>201.45</v>
      </c>
      <c r="I83" s="5">
        <v>5</v>
      </c>
      <c r="J83" s="4">
        <v>1</v>
      </c>
      <c r="K83" s="4">
        <v>3</v>
      </c>
      <c r="L83" s="4">
        <v>10</v>
      </c>
      <c r="M83" s="4">
        <v>10</v>
      </c>
      <c r="N83" s="6">
        <f t="shared" si="57"/>
        <v>8458.5156480000005</v>
      </c>
      <c r="O83" s="6">
        <f t="shared" si="31"/>
        <v>8132.6868480000012</v>
      </c>
      <c r="P83" s="6">
        <f t="shared" si="32"/>
        <v>8295.6012480000009</v>
      </c>
      <c r="Q83" s="6">
        <f t="shared" si="33"/>
        <v>8865.8016480000024</v>
      </c>
      <c r="R83" s="6">
        <f t="shared" si="34"/>
        <v>8865.8016480000024</v>
      </c>
      <c r="S83" s="6">
        <f t="shared" si="36"/>
        <v>11381.199984000001</v>
      </c>
      <c r="T83" s="6">
        <f t="shared" si="37"/>
        <v>11055.371184000001</v>
      </c>
      <c r="U83" s="6">
        <f t="shared" si="38"/>
        <v>11218.285584000003</v>
      </c>
      <c r="V83" s="6">
        <f t="shared" si="39"/>
        <v>11788.485984000001</v>
      </c>
      <c r="W83" s="6">
        <f t="shared" si="40"/>
        <v>11788.485984000001</v>
      </c>
      <c r="X83" s="6">
        <f t="shared" si="41"/>
        <v>10732.800671999999</v>
      </c>
      <c r="Y83" s="6">
        <f t="shared" si="42"/>
        <v>10406.971872</v>
      </c>
      <c r="Z83" s="6">
        <f t="shared" si="43"/>
        <v>10569.886272000002</v>
      </c>
      <c r="AA83" s="6">
        <f t="shared" si="44"/>
        <v>11140.086671999999</v>
      </c>
      <c r="AB83" s="6">
        <f t="shared" si="45"/>
        <v>11140.086671999999</v>
      </c>
      <c r="AC83" s="6">
        <f t="shared" si="46"/>
        <v>13534.928352000001</v>
      </c>
      <c r="AD83" s="6">
        <f t="shared" si="47"/>
        <v>13209.099552000001</v>
      </c>
      <c r="AE83" s="6">
        <f t="shared" si="48"/>
        <v>13372.013951999999</v>
      </c>
      <c r="AF83" s="6">
        <f t="shared" si="49"/>
        <v>13942.214351999999</v>
      </c>
      <c r="AG83" s="6">
        <f t="shared" si="50"/>
        <v>13942.214351999999</v>
      </c>
      <c r="AH83" s="6">
        <f t="shared" si="51"/>
        <v>16816.838940000001</v>
      </c>
      <c r="AI83" s="6">
        <f t="shared" si="52"/>
        <v>16491.010140000002</v>
      </c>
      <c r="AJ83" s="6">
        <f t="shared" si="53"/>
        <v>16653.92454</v>
      </c>
      <c r="AK83" s="6">
        <f t="shared" si="54"/>
        <v>17224.124940000002</v>
      </c>
      <c r="AL83" s="6">
        <f t="shared" si="55"/>
        <v>17224.124940000002</v>
      </c>
    </row>
    <row r="84" spans="1:38" x14ac:dyDescent="0.35">
      <c r="A84" s="8" t="s">
        <v>93</v>
      </c>
      <c r="B84" s="2" t="s">
        <v>56</v>
      </c>
      <c r="C84" s="3">
        <v>1.1000000000000001</v>
      </c>
      <c r="D84" s="3">
        <v>115.04</v>
      </c>
      <c r="E84" s="3">
        <v>144.83000000000001</v>
      </c>
      <c r="F84" s="15">
        <v>138.85</v>
      </c>
      <c r="G84" s="15">
        <v>188.71</v>
      </c>
      <c r="H84" s="10">
        <f t="shared" si="56"/>
        <v>235.88750000000002</v>
      </c>
      <c r="I84" s="5">
        <v>5</v>
      </c>
      <c r="J84" s="4">
        <v>1</v>
      </c>
      <c r="K84" s="4">
        <v>3</v>
      </c>
      <c r="L84" s="4">
        <v>10</v>
      </c>
      <c r="M84" s="4">
        <v>10</v>
      </c>
      <c r="N84" s="6">
        <f t="shared" si="57"/>
        <v>9778.1222880000005</v>
      </c>
      <c r="O84" s="6">
        <f t="shared" si="31"/>
        <v>9452.2934880000012</v>
      </c>
      <c r="P84" s="6">
        <f t="shared" si="32"/>
        <v>9615.2078880000026</v>
      </c>
      <c r="Q84" s="6">
        <f t="shared" si="33"/>
        <v>10185.408288000002</v>
      </c>
      <c r="R84" s="6">
        <f t="shared" si="34"/>
        <v>10185.408288000002</v>
      </c>
      <c r="S84" s="6">
        <f t="shared" si="36"/>
        <v>12204.732276000001</v>
      </c>
      <c r="T84" s="6">
        <f t="shared" si="37"/>
        <v>11878.903476000001</v>
      </c>
      <c r="U84" s="6">
        <f t="shared" si="38"/>
        <v>12041.817876000003</v>
      </c>
      <c r="V84" s="6">
        <f t="shared" si="39"/>
        <v>12612.018276000003</v>
      </c>
      <c r="W84" s="6">
        <f t="shared" si="40"/>
        <v>12612.018276000003</v>
      </c>
      <c r="X84" s="6">
        <f t="shared" si="41"/>
        <v>11717.618220000002</v>
      </c>
      <c r="Y84" s="6">
        <f t="shared" si="42"/>
        <v>11391.789420000001</v>
      </c>
      <c r="Z84" s="6">
        <f t="shared" si="43"/>
        <v>11554.703820000002</v>
      </c>
      <c r="AA84" s="6">
        <f t="shared" si="44"/>
        <v>12124.904220000002</v>
      </c>
      <c r="AB84" s="6">
        <f t="shared" si="45"/>
        <v>12124.904220000002</v>
      </c>
      <c r="AC84" s="6">
        <f t="shared" si="46"/>
        <v>15779.074212000001</v>
      </c>
      <c r="AD84" s="6">
        <f t="shared" si="47"/>
        <v>15453.245412000004</v>
      </c>
      <c r="AE84" s="6">
        <f t="shared" si="48"/>
        <v>15616.159812000004</v>
      </c>
      <c r="AF84" s="6">
        <f t="shared" si="49"/>
        <v>16186.360212000001</v>
      </c>
      <c r="AG84" s="6">
        <f t="shared" si="50"/>
        <v>16186.360212000001</v>
      </c>
      <c r="AH84" s="6">
        <f t="shared" si="51"/>
        <v>19622.021265000003</v>
      </c>
      <c r="AI84" s="6">
        <f t="shared" si="52"/>
        <v>19296.192465</v>
      </c>
      <c r="AJ84" s="6">
        <f t="shared" si="53"/>
        <v>19459.106865000002</v>
      </c>
      <c r="AK84" s="6">
        <f t="shared" si="54"/>
        <v>20029.307265000003</v>
      </c>
      <c r="AL84" s="6">
        <f t="shared" si="55"/>
        <v>20029.307265000003</v>
      </c>
    </row>
    <row r="85" spans="1:38" x14ac:dyDescent="0.35">
      <c r="A85" s="8" t="s">
        <v>93</v>
      </c>
      <c r="B85" s="2" t="s">
        <v>58</v>
      </c>
      <c r="C85" s="3">
        <v>1.5</v>
      </c>
      <c r="D85" s="3">
        <v>145.08000000000001</v>
      </c>
      <c r="E85" s="3">
        <v>196.31</v>
      </c>
      <c r="F85" s="15">
        <v>168.02</v>
      </c>
      <c r="G85" s="15">
        <v>225.85</v>
      </c>
      <c r="H85" s="10">
        <f t="shared" si="56"/>
        <v>282.3125</v>
      </c>
      <c r="I85" s="5">
        <v>5</v>
      </c>
      <c r="J85" s="4">
        <v>1</v>
      </c>
      <c r="K85" s="4">
        <v>3</v>
      </c>
      <c r="L85" s="4">
        <v>10</v>
      </c>
      <c r="M85" s="4">
        <v>10</v>
      </c>
      <c r="N85" s="6">
        <f t="shared" si="57"/>
        <v>12225.096576</v>
      </c>
      <c r="O85" s="6">
        <f t="shared" si="31"/>
        <v>11899.267776000001</v>
      </c>
      <c r="P85" s="6">
        <f t="shared" si="32"/>
        <v>12062.182176000002</v>
      </c>
      <c r="Q85" s="6">
        <f t="shared" si="33"/>
        <v>12632.382576000002</v>
      </c>
      <c r="R85" s="6">
        <f t="shared" si="34"/>
        <v>12632.382576000002</v>
      </c>
      <c r="S85" s="6">
        <f t="shared" si="36"/>
        <v>16398.148932000004</v>
      </c>
      <c r="T85" s="6">
        <f t="shared" si="37"/>
        <v>16072.320132000004</v>
      </c>
      <c r="U85" s="6">
        <f t="shared" si="38"/>
        <v>16235.234532000002</v>
      </c>
      <c r="V85" s="6">
        <f t="shared" si="39"/>
        <v>16805.434932000004</v>
      </c>
      <c r="W85" s="6">
        <f t="shared" si="40"/>
        <v>16805.434932000004</v>
      </c>
      <c r="X85" s="6">
        <f t="shared" si="41"/>
        <v>14093.724744000001</v>
      </c>
      <c r="Y85" s="6">
        <f t="shared" si="42"/>
        <v>13767.895944000004</v>
      </c>
      <c r="Z85" s="6">
        <f t="shared" si="43"/>
        <v>13930.810344000003</v>
      </c>
      <c r="AA85" s="6">
        <f t="shared" si="44"/>
        <v>14501.010744000003</v>
      </c>
      <c r="AB85" s="6">
        <f t="shared" si="45"/>
        <v>14501.010744000003</v>
      </c>
      <c r="AC85" s="6">
        <f t="shared" si="46"/>
        <v>18804.394620000003</v>
      </c>
      <c r="AD85" s="6">
        <f t="shared" si="47"/>
        <v>18478.565820000003</v>
      </c>
      <c r="AE85" s="6">
        <f t="shared" si="48"/>
        <v>18641.480220000001</v>
      </c>
      <c r="AF85" s="6">
        <f t="shared" si="49"/>
        <v>19211.680620000003</v>
      </c>
      <c r="AG85" s="6">
        <f t="shared" si="50"/>
        <v>19211.680620000003</v>
      </c>
      <c r="AH85" s="6">
        <f t="shared" si="51"/>
        <v>23403.671775000003</v>
      </c>
      <c r="AI85" s="6">
        <f t="shared" si="52"/>
        <v>23077.842975000003</v>
      </c>
      <c r="AJ85" s="6">
        <f t="shared" si="53"/>
        <v>23240.757375000001</v>
      </c>
      <c r="AK85" s="6">
        <f t="shared" si="54"/>
        <v>23810.957774999999</v>
      </c>
      <c r="AL85" s="6">
        <f t="shared" si="55"/>
        <v>23810.957774999999</v>
      </c>
    </row>
    <row r="86" spans="1:38" x14ac:dyDescent="0.35">
      <c r="A86" s="8" t="s">
        <v>93</v>
      </c>
      <c r="B86" s="2" t="s">
        <v>5</v>
      </c>
      <c r="C86" s="3">
        <v>2.2000000000000002</v>
      </c>
      <c r="D86" s="3">
        <v>196.81</v>
      </c>
      <c r="E86" s="3">
        <v>260.5</v>
      </c>
      <c r="F86" s="15">
        <v>207.03</v>
      </c>
      <c r="G86" s="15">
        <v>268.23</v>
      </c>
      <c r="H86" s="10">
        <f t="shared" si="56"/>
        <v>335.28750000000002</v>
      </c>
      <c r="I86" s="5">
        <v>5</v>
      </c>
      <c r="J86" s="4">
        <v>1</v>
      </c>
      <c r="K86" s="4">
        <v>3</v>
      </c>
      <c r="L86" s="4">
        <v>10</v>
      </c>
      <c r="M86" s="4">
        <v>10</v>
      </c>
      <c r="N86" s="6">
        <f t="shared" si="57"/>
        <v>16438.877532000006</v>
      </c>
      <c r="O86" s="6">
        <f t="shared" si="31"/>
        <v>16113.048732000007</v>
      </c>
      <c r="P86" s="6">
        <f t="shared" si="32"/>
        <v>16275.963132000004</v>
      </c>
      <c r="Q86" s="6">
        <f t="shared" si="33"/>
        <v>16846.163532000002</v>
      </c>
      <c r="R86" s="6">
        <f t="shared" si="34"/>
        <v>16846.163532000002</v>
      </c>
      <c r="S86" s="6">
        <f t="shared" si="36"/>
        <v>21626.886600000005</v>
      </c>
      <c r="T86" s="6">
        <f t="shared" si="37"/>
        <v>21301.057800000002</v>
      </c>
      <c r="U86" s="6">
        <f t="shared" si="38"/>
        <v>21463.972200000004</v>
      </c>
      <c r="V86" s="6">
        <f t="shared" si="39"/>
        <v>22034.172600000002</v>
      </c>
      <c r="W86" s="6">
        <f t="shared" si="40"/>
        <v>22034.172600000002</v>
      </c>
      <c r="X86" s="6">
        <f t="shared" si="41"/>
        <v>17271.370115999998</v>
      </c>
      <c r="Y86" s="6">
        <f t="shared" si="42"/>
        <v>16945.541316000003</v>
      </c>
      <c r="Z86" s="6">
        <f t="shared" si="43"/>
        <v>17108.455715999997</v>
      </c>
      <c r="AA86" s="6">
        <f t="shared" si="44"/>
        <v>17678.656116000002</v>
      </c>
      <c r="AB86" s="6">
        <f t="shared" si="45"/>
        <v>17678.656116000002</v>
      </c>
      <c r="AC86" s="6">
        <f t="shared" si="46"/>
        <v>22256.550756000004</v>
      </c>
      <c r="AD86" s="6">
        <f t="shared" si="47"/>
        <v>21930.721956000001</v>
      </c>
      <c r="AE86" s="6">
        <f t="shared" si="48"/>
        <v>22093.636356000003</v>
      </c>
      <c r="AF86" s="6">
        <f t="shared" si="49"/>
        <v>22663.836756000004</v>
      </c>
      <c r="AG86" s="6">
        <f t="shared" si="50"/>
        <v>22663.836756000004</v>
      </c>
      <c r="AH86" s="6">
        <f t="shared" si="51"/>
        <v>27718.866945000005</v>
      </c>
      <c r="AI86" s="6">
        <f t="shared" si="52"/>
        <v>27393.038145000002</v>
      </c>
      <c r="AJ86" s="6">
        <f t="shared" si="53"/>
        <v>27555.952545000007</v>
      </c>
      <c r="AK86" s="6">
        <f t="shared" si="54"/>
        <v>28126.152945000002</v>
      </c>
      <c r="AL86" s="6">
        <f t="shared" si="55"/>
        <v>28126.152945000002</v>
      </c>
    </row>
    <row r="87" spans="1:38" x14ac:dyDescent="0.35">
      <c r="A87" s="8" t="s">
        <v>93</v>
      </c>
      <c r="B87" s="2" t="s">
        <v>7</v>
      </c>
      <c r="C87" s="3">
        <v>3</v>
      </c>
      <c r="D87" s="3">
        <v>243.43</v>
      </c>
      <c r="E87" s="3">
        <v>316.70999999999998</v>
      </c>
      <c r="F87" s="15">
        <v>296.14999999999998</v>
      </c>
      <c r="G87" s="15">
        <v>369.81</v>
      </c>
      <c r="H87" s="10">
        <f t="shared" si="56"/>
        <v>462.26249999999999</v>
      </c>
      <c r="I87" s="5">
        <v>5</v>
      </c>
      <c r="J87" s="4">
        <v>1</v>
      </c>
      <c r="K87" s="4">
        <v>3</v>
      </c>
      <c r="L87" s="4">
        <v>10</v>
      </c>
      <c r="M87" s="4">
        <v>10</v>
      </c>
      <c r="N87" s="6">
        <f t="shared" si="57"/>
        <v>20236.412196000005</v>
      </c>
      <c r="O87" s="6">
        <f t="shared" si="31"/>
        <v>19910.583396000002</v>
      </c>
      <c r="P87" s="6">
        <f t="shared" si="32"/>
        <v>20073.497796000003</v>
      </c>
      <c r="Q87" s="6">
        <f t="shared" si="33"/>
        <v>20643.698196000001</v>
      </c>
      <c r="R87" s="6">
        <f t="shared" si="34"/>
        <v>20643.698196000001</v>
      </c>
      <c r="S87" s="6">
        <f t="shared" si="36"/>
        <v>26205.595811999996</v>
      </c>
      <c r="T87" s="6">
        <f t="shared" si="37"/>
        <v>25879.767012</v>
      </c>
      <c r="U87" s="6">
        <f t="shared" si="38"/>
        <v>26042.681412000002</v>
      </c>
      <c r="V87" s="6">
        <f t="shared" si="39"/>
        <v>26612.881812</v>
      </c>
      <c r="W87" s="6">
        <f t="shared" si="40"/>
        <v>26612.881812</v>
      </c>
      <c r="X87" s="6">
        <f t="shared" si="41"/>
        <v>24530.835780000001</v>
      </c>
      <c r="Y87" s="6">
        <f t="shared" si="42"/>
        <v>24205.006979999998</v>
      </c>
      <c r="Z87" s="6">
        <f t="shared" si="43"/>
        <v>24367.92138</v>
      </c>
      <c r="AA87" s="6">
        <f t="shared" si="44"/>
        <v>24938.121779999998</v>
      </c>
      <c r="AB87" s="6">
        <f t="shared" si="45"/>
        <v>24938.121779999998</v>
      </c>
      <c r="AC87" s="6">
        <f t="shared" si="46"/>
        <v>30530.973132000003</v>
      </c>
      <c r="AD87" s="6">
        <f t="shared" si="47"/>
        <v>30205.144332</v>
      </c>
      <c r="AE87" s="6">
        <f t="shared" si="48"/>
        <v>30368.058732000005</v>
      </c>
      <c r="AF87" s="6">
        <f t="shared" si="49"/>
        <v>30938.259132000007</v>
      </c>
      <c r="AG87" s="6">
        <f t="shared" si="50"/>
        <v>30938.259132000007</v>
      </c>
      <c r="AH87" s="6">
        <f t="shared" si="51"/>
        <v>38061.894915000012</v>
      </c>
      <c r="AI87" s="6">
        <f t="shared" si="52"/>
        <v>37736.066115000001</v>
      </c>
      <c r="AJ87" s="6">
        <f t="shared" si="53"/>
        <v>37898.980515000003</v>
      </c>
      <c r="AK87" s="6">
        <f t="shared" si="54"/>
        <v>38469.180915000004</v>
      </c>
      <c r="AL87" s="6">
        <f t="shared" si="55"/>
        <v>38469.180915000004</v>
      </c>
    </row>
    <row r="88" spans="1:38" x14ac:dyDescent="0.35">
      <c r="A88" s="8" t="s">
        <v>93</v>
      </c>
      <c r="B88" s="2" t="s">
        <v>9</v>
      </c>
      <c r="C88" s="3">
        <v>4</v>
      </c>
      <c r="D88" s="3">
        <v>300.64</v>
      </c>
      <c r="E88" s="3">
        <v>373.05</v>
      </c>
      <c r="F88" s="15">
        <v>322.07</v>
      </c>
      <c r="G88" s="15">
        <v>413.44</v>
      </c>
      <c r="H88" s="10">
        <f t="shared" si="56"/>
        <v>516.79999999999995</v>
      </c>
      <c r="I88" s="5">
        <v>5</v>
      </c>
      <c r="J88" s="4">
        <v>1</v>
      </c>
      <c r="K88" s="4">
        <v>3</v>
      </c>
      <c r="L88" s="4">
        <v>10</v>
      </c>
      <c r="M88" s="4">
        <v>10</v>
      </c>
      <c r="N88" s="6">
        <f t="shared" si="57"/>
        <v>24896.578608</v>
      </c>
      <c r="O88" s="6">
        <f t="shared" si="31"/>
        <v>24570.749808</v>
      </c>
      <c r="P88" s="6">
        <f t="shared" si="32"/>
        <v>24733.664208000002</v>
      </c>
      <c r="Q88" s="6">
        <f t="shared" si="33"/>
        <v>25303.864608000003</v>
      </c>
      <c r="R88" s="6">
        <f t="shared" si="34"/>
        <v>25303.864608000003</v>
      </c>
      <c r="S88" s="6">
        <f t="shared" si="36"/>
        <v>30794.894460000003</v>
      </c>
      <c r="T88" s="6">
        <f t="shared" si="37"/>
        <v>30469.06566</v>
      </c>
      <c r="U88" s="6">
        <f t="shared" si="38"/>
        <v>30631.980060000005</v>
      </c>
      <c r="V88" s="6">
        <f t="shared" si="39"/>
        <v>31202.18046</v>
      </c>
      <c r="W88" s="6">
        <f t="shared" si="40"/>
        <v>31202.18046</v>
      </c>
      <c r="X88" s="6">
        <f t="shared" si="41"/>
        <v>26642.206403999997</v>
      </c>
      <c r="Y88" s="6">
        <f t="shared" si="42"/>
        <v>26316.377604000005</v>
      </c>
      <c r="Z88" s="6">
        <f t="shared" si="43"/>
        <v>26479.292004000003</v>
      </c>
      <c r="AA88" s="6">
        <f t="shared" si="44"/>
        <v>27049.492404000001</v>
      </c>
      <c r="AB88" s="6">
        <f t="shared" si="45"/>
        <v>27049.492404000001</v>
      </c>
      <c r="AC88" s="6">
        <f t="shared" si="46"/>
        <v>34084.950768000002</v>
      </c>
      <c r="AD88" s="6">
        <f t="shared" si="47"/>
        <v>33759.121968000007</v>
      </c>
      <c r="AE88" s="6">
        <f t="shared" si="48"/>
        <v>33922.036368000001</v>
      </c>
      <c r="AF88" s="6">
        <f t="shared" si="49"/>
        <v>34492.236768000002</v>
      </c>
      <c r="AG88" s="6">
        <f t="shared" si="50"/>
        <v>34492.236768000002</v>
      </c>
      <c r="AH88" s="6">
        <f t="shared" si="51"/>
        <v>42504.366959999999</v>
      </c>
      <c r="AI88" s="6">
        <f t="shared" si="52"/>
        <v>42178.538159999996</v>
      </c>
      <c r="AJ88" s="6">
        <f t="shared" si="53"/>
        <v>42341.452559999998</v>
      </c>
      <c r="AK88" s="6">
        <f t="shared" si="54"/>
        <v>42911.652960000007</v>
      </c>
      <c r="AL88" s="6">
        <f t="shared" si="55"/>
        <v>42911.652960000007</v>
      </c>
    </row>
    <row r="89" spans="1:38" x14ac:dyDescent="0.35">
      <c r="A89" s="8" t="s">
        <v>93</v>
      </c>
      <c r="B89" s="2" t="s">
        <v>11</v>
      </c>
      <c r="C89" s="3">
        <v>5.5</v>
      </c>
      <c r="D89" s="3">
        <v>325.56</v>
      </c>
      <c r="E89" s="3">
        <v>379.78</v>
      </c>
      <c r="F89" s="15">
        <v>329.18</v>
      </c>
      <c r="G89" s="15">
        <v>513.15</v>
      </c>
      <c r="H89" s="10">
        <f t="shared" si="56"/>
        <v>641.4375</v>
      </c>
      <c r="I89" s="5">
        <v>5</v>
      </c>
      <c r="J89" s="4">
        <v>1</v>
      </c>
      <c r="K89" s="4">
        <v>3</v>
      </c>
      <c r="L89" s="4">
        <v>10</v>
      </c>
      <c r="M89" s="4">
        <v>10</v>
      </c>
      <c r="N89" s="6">
        <f t="shared" si="57"/>
        <v>26926.492032000002</v>
      </c>
      <c r="O89" s="6">
        <f t="shared" si="31"/>
        <v>26600.663232000003</v>
      </c>
      <c r="P89" s="6">
        <f t="shared" si="32"/>
        <v>26763.577632000004</v>
      </c>
      <c r="Q89" s="6">
        <f t="shared" si="33"/>
        <v>27333.778032000006</v>
      </c>
      <c r="R89" s="6">
        <f t="shared" si="34"/>
        <v>27333.778032000006</v>
      </c>
      <c r="S89" s="6">
        <f t="shared" si="36"/>
        <v>31343.101416000009</v>
      </c>
      <c r="T89" s="6">
        <f t="shared" si="37"/>
        <v>31017.272615999998</v>
      </c>
      <c r="U89" s="6">
        <f t="shared" si="38"/>
        <v>31180.187015999996</v>
      </c>
      <c r="V89" s="6">
        <f t="shared" si="39"/>
        <v>31750.387416000005</v>
      </c>
      <c r="W89" s="6">
        <f t="shared" si="40"/>
        <v>31750.387416000005</v>
      </c>
      <c r="X89" s="6">
        <f t="shared" si="41"/>
        <v>27221.367096000005</v>
      </c>
      <c r="Y89" s="6">
        <f t="shared" si="42"/>
        <v>26895.538296000002</v>
      </c>
      <c r="Z89" s="6">
        <f t="shared" si="43"/>
        <v>27058.452696000008</v>
      </c>
      <c r="AA89" s="6">
        <f t="shared" si="44"/>
        <v>27628.653096000005</v>
      </c>
      <c r="AB89" s="6">
        <f t="shared" si="45"/>
        <v>27628.653096000005</v>
      </c>
      <c r="AC89" s="6">
        <f t="shared" si="46"/>
        <v>42207.048180000005</v>
      </c>
      <c r="AD89" s="6">
        <f t="shared" si="47"/>
        <v>41881.21938000001</v>
      </c>
      <c r="AE89" s="6">
        <f t="shared" si="48"/>
        <v>42044.133780000011</v>
      </c>
      <c r="AF89" s="6">
        <f t="shared" si="49"/>
        <v>42614.334180000005</v>
      </c>
      <c r="AG89" s="6">
        <f t="shared" si="50"/>
        <v>42614.334180000005</v>
      </c>
      <c r="AH89" s="6">
        <f t="shared" si="51"/>
        <v>52656.98872500001</v>
      </c>
      <c r="AI89" s="6">
        <f t="shared" si="52"/>
        <v>52331.159925</v>
      </c>
      <c r="AJ89" s="6">
        <f t="shared" si="53"/>
        <v>52494.074325000001</v>
      </c>
      <c r="AK89" s="6">
        <f t="shared" si="54"/>
        <v>53064.274725000003</v>
      </c>
      <c r="AL89" s="6">
        <f t="shared" si="55"/>
        <v>53064.274725000003</v>
      </c>
    </row>
    <row r="90" spans="1:38" x14ac:dyDescent="0.35">
      <c r="A90" s="8" t="s">
        <v>93</v>
      </c>
      <c r="B90" s="2" t="s">
        <v>13</v>
      </c>
      <c r="C90" s="3">
        <v>7.5</v>
      </c>
      <c r="D90" s="3">
        <v>445.97</v>
      </c>
      <c r="E90" s="3">
        <v>545.30999999999995</v>
      </c>
      <c r="F90" s="15">
        <v>468.4</v>
      </c>
      <c r="G90" s="15">
        <v>630.19000000000005</v>
      </c>
      <c r="H90" s="10">
        <f t="shared" si="56"/>
        <v>787.73750000000007</v>
      </c>
      <c r="I90" s="5">
        <v>5</v>
      </c>
      <c r="J90" s="4">
        <v>1</v>
      </c>
      <c r="K90" s="4">
        <v>3</v>
      </c>
      <c r="L90" s="4">
        <v>10</v>
      </c>
      <c r="M90" s="4">
        <v>10</v>
      </c>
      <c r="N90" s="6">
        <f t="shared" ref="N90:N98" si="58">(D90+I90)*33*1.1*1.2*1.1*1.7</f>
        <v>36734.753484000001</v>
      </c>
      <c r="O90" s="6">
        <f t="shared" ref="O90:O98" si="59">(D90+J90)*33*1.1*1.2*1.1*1.7</f>
        <v>36408.924684000005</v>
      </c>
      <c r="P90" s="6">
        <f t="shared" ref="P90:P98" si="60">(D90+K90)*33*1.1*1.2*1.1*1.7</f>
        <v>36571.839084000007</v>
      </c>
      <c r="Q90" s="6">
        <f t="shared" ref="Q90:Q98" si="61">(D90+L90)*33*1.1*1.2*1.1*1.7</f>
        <v>37142.039484000001</v>
      </c>
      <c r="R90" s="6">
        <f t="shared" ref="R90:R98" si="62">(D90+M90)*33*1.1*1.2*1.1*1.7</f>
        <v>37142.039484000001</v>
      </c>
      <c r="S90" s="6">
        <f t="shared" si="36"/>
        <v>44826.711732000003</v>
      </c>
      <c r="T90" s="6">
        <f t="shared" si="37"/>
        <v>44500.882932</v>
      </c>
      <c r="U90" s="6">
        <f t="shared" si="38"/>
        <v>44663.797332000009</v>
      </c>
      <c r="V90" s="6">
        <f t="shared" si="39"/>
        <v>45233.997732000003</v>
      </c>
      <c r="W90" s="6">
        <f t="shared" si="40"/>
        <v>45233.997732000003</v>
      </c>
      <c r="X90" s="6">
        <f t="shared" si="41"/>
        <v>38561.838480000006</v>
      </c>
      <c r="Y90" s="6">
        <f t="shared" si="42"/>
        <v>38236.00968000001</v>
      </c>
      <c r="Z90" s="6">
        <f t="shared" si="43"/>
        <v>38398.924079999997</v>
      </c>
      <c r="AA90" s="6">
        <f t="shared" si="44"/>
        <v>38969.124480000006</v>
      </c>
      <c r="AB90" s="6">
        <f t="shared" si="45"/>
        <v>38969.124480000006</v>
      </c>
      <c r="AC90" s="6">
        <f t="shared" si="46"/>
        <v>51740.798868000005</v>
      </c>
      <c r="AD90" s="6">
        <f t="shared" si="47"/>
        <v>51414.97006800001</v>
      </c>
      <c r="AE90" s="6">
        <f t="shared" si="48"/>
        <v>51577.884468000004</v>
      </c>
      <c r="AF90" s="6">
        <f t="shared" si="49"/>
        <v>52148.084868000005</v>
      </c>
      <c r="AG90" s="6">
        <f t="shared" si="50"/>
        <v>52148.084868000005</v>
      </c>
      <c r="AH90" s="6">
        <f t="shared" si="51"/>
        <v>64574.17708500001</v>
      </c>
      <c r="AI90" s="6">
        <f t="shared" si="52"/>
        <v>64248.348285</v>
      </c>
      <c r="AJ90" s="6">
        <f t="shared" si="53"/>
        <v>64411.262685000009</v>
      </c>
      <c r="AK90" s="6">
        <f t="shared" si="54"/>
        <v>64981.463085000003</v>
      </c>
      <c r="AL90" s="6">
        <f t="shared" si="55"/>
        <v>64981.463085000003</v>
      </c>
    </row>
    <row r="91" spans="1:38" x14ac:dyDescent="0.35">
      <c r="A91" s="8" t="s">
        <v>93</v>
      </c>
      <c r="B91" s="2" t="s">
        <v>15</v>
      </c>
      <c r="C91" s="3">
        <v>11</v>
      </c>
      <c r="D91" s="3">
        <v>515.77</v>
      </c>
      <c r="E91" s="3">
        <v>630.80999999999995</v>
      </c>
      <c r="F91" s="15">
        <v>541.94000000000005</v>
      </c>
      <c r="G91" s="15">
        <v>705.1</v>
      </c>
      <c r="H91" s="10">
        <f t="shared" si="56"/>
        <v>881.375</v>
      </c>
      <c r="I91" s="5">
        <v>5</v>
      </c>
      <c r="J91" s="4">
        <v>1</v>
      </c>
      <c r="K91" s="4">
        <v>3</v>
      </c>
      <c r="L91" s="4">
        <v>10</v>
      </c>
      <c r="M91" s="4">
        <v>10</v>
      </c>
      <c r="N91" s="6">
        <f t="shared" si="58"/>
        <v>42420.466044000001</v>
      </c>
      <c r="O91" s="6">
        <f t="shared" si="59"/>
        <v>42094.637244000005</v>
      </c>
      <c r="P91" s="6">
        <f t="shared" si="60"/>
        <v>42257.551644000006</v>
      </c>
      <c r="Q91" s="6">
        <f t="shared" si="61"/>
        <v>42827.752044000001</v>
      </c>
      <c r="R91" s="6">
        <f t="shared" si="62"/>
        <v>42827.752044000001</v>
      </c>
      <c r="S91" s="6">
        <f t="shared" si="36"/>
        <v>51791.302332000007</v>
      </c>
      <c r="T91" s="6">
        <f t="shared" si="37"/>
        <v>51465.473532000004</v>
      </c>
      <c r="U91" s="6">
        <f t="shared" si="38"/>
        <v>51628.387931999998</v>
      </c>
      <c r="V91" s="6">
        <f t="shared" si="39"/>
        <v>52198.588332000007</v>
      </c>
      <c r="W91" s="6">
        <f t="shared" si="40"/>
        <v>52198.588332000007</v>
      </c>
      <c r="X91" s="6">
        <f t="shared" si="41"/>
        <v>44552.200968000012</v>
      </c>
      <c r="Y91" s="6">
        <f t="shared" si="42"/>
        <v>44226.372168000002</v>
      </c>
      <c r="Z91" s="6">
        <f t="shared" si="43"/>
        <v>44389.28656800001</v>
      </c>
      <c r="AA91" s="6">
        <f t="shared" si="44"/>
        <v>44959.486968000005</v>
      </c>
      <c r="AB91" s="6">
        <f t="shared" si="45"/>
        <v>44959.486968000005</v>
      </c>
      <c r="AC91" s="6">
        <f t="shared" si="46"/>
        <v>57842.757719999994</v>
      </c>
      <c r="AD91" s="6">
        <f t="shared" si="47"/>
        <v>57516.928919999998</v>
      </c>
      <c r="AE91" s="6">
        <f t="shared" si="48"/>
        <v>57679.84332</v>
      </c>
      <c r="AF91" s="6">
        <f t="shared" si="49"/>
        <v>58250.043720000009</v>
      </c>
      <c r="AG91" s="6">
        <f t="shared" si="50"/>
        <v>58250.043720000009</v>
      </c>
      <c r="AH91" s="6">
        <f t="shared" si="51"/>
        <v>72201.625650000002</v>
      </c>
      <c r="AI91" s="6">
        <f t="shared" si="52"/>
        <v>71875.796849999999</v>
      </c>
      <c r="AJ91" s="6">
        <f t="shared" si="53"/>
        <v>72038.711250000008</v>
      </c>
      <c r="AK91" s="6">
        <f t="shared" si="54"/>
        <v>72608.911649999995</v>
      </c>
      <c r="AL91" s="6">
        <f t="shared" si="55"/>
        <v>72608.911649999995</v>
      </c>
    </row>
    <row r="92" spans="1:38" x14ac:dyDescent="0.35">
      <c r="A92" s="8" t="s">
        <v>93</v>
      </c>
      <c r="B92" s="2" t="s">
        <v>17</v>
      </c>
      <c r="C92" s="3">
        <v>15</v>
      </c>
      <c r="D92" s="3">
        <v>686.9</v>
      </c>
      <c r="E92" s="3">
        <v>872.37</v>
      </c>
      <c r="F92" s="15">
        <v>730.77</v>
      </c>
      <c r="G92" s="15">
        <v>935.44</v>
      </c>
      <c r="H92" s="10">
        <f t="shared" si="56"/>
        <v>1169.3000000000002</v>
      </c>
      <c r="I92" s="5">
        <v>5</v>
      </c>
      <c r="J92" s="4">
        <v>1</v>
      </c>
      <c r="K92" s="4">
        <v>3</v>
      </c>
      <c r="L92" s="4">
        <v>10</v>
      </c>
      <c r="M92" s="4">
        <v>10</v>
      </c>
      <c r="N92" s="6">
        <f t="shared" si="58"/>
        <v>56360.236680000009</v>
      </c>
      <c r="O92" s="6">
        <f t="shared" si="59"/>
        <v>56034.407880000013</v>
      </c>
      <c r="P92" s="6">
        <f t="shared" si="60"/>
        <v>56197.322280000008</v>
      </c>
      <c r="Q92" s="6">
        <f t="shared" si="61"/>
        <v>56767.522680000002</v>
      </c>
      <c r="R92" s="6">
        <f t="shared" si="62"/>
        <v>56767.522680000002</v>
      </c>
      <c r="S92" s="6">
        <f t="shared" si="36"/>
        <v>71468.103564000005</v>
      </c>
      <c r="T92" s="6">
        <f t="shared" si="37"/>
        <v>71142.274764000002</v>
      </c>
      <c r="U92" s="6">
        <f t="shared" si="38"/>
        <v>71305.189163999996</v>
      </c>
      <c r="V92" s="6">
        <f t="shared" si="39"/>
        <v>71875.389564000012</v>
      </c>
      <c r="W92" s="6">
        <f t="shared" si="40"/>
        <v>71875.389564000012</v>
      </c>
      <c r="X92" s="6">
        <f t="shared" si="41"/>
        <v>59933.764043999996</v>
      </c>
      <c r="Y92" s="6">
        <f t="shared" si="42"/>
        <v>59607.935244</v>
      </c>
      <c r="Z92" s="6">
        <f t="shared" si="43"/>
        <v>59770.849644000002</v>
      </c>
      <c r="AA92" s="6">
        <f t="shared" si="44"/>
        <v>60341.050044000011</v>
      </c>
      <c r="AB92" s="6">
        <f t="shared" si="45"/>
        <v>60341.050044000011</v>
      </c>
      <c r="AC92" s="6">
        <f t="shared" si="46"/>
        <v>76605.60916800001</v>
      </c>
      <c r="AD92" s="6">
        <f t="shared" si="47"/>
        <v>76279.780368000007</v>
      </c>
      <c r="AE92" s="6">
        <f t="shared" si="48"/>
        <v>76442.694768000001</v>
      </c>
      <c r="AF92" s="6">
        <f t="shared" si="49"/>
        <v>77012.895168000003</v>
      </c>
      <c r="AG92" s="6">
        <f t="shared" si="50"/>
        <v>77012.895168000003</v>
      </c>
      <c r="AH92" s="6">
        <f t="shared" si="51"/>
        <v>95655.189960000032</v>
      </c>
      <c r="AI92" s="6">
        <f t="shared" si="52"/>
        <v>95329.361160000044</v>
      </c>
      <c r="AJ92" s="6">
        <f t="shared" si="53"/>
        <v>95492.275560000038</v>
      </c>
      <c r="AK92" s="6">
        <f t="shared" si="54"/>
        <v>96062.475960000025</v>
      </c>
      <c r="AL92" s="6">
        <f t="shared" si="55"/>
        <v>96062.475960000025</v>
      </c>
    </row>
    <row r="93" spans="1:38" x14ac:dyDescent="0.35">
      <c r="A93" s="8" t="s">
        <v>93</v>
      </c>
      <c r="B93" s="2" t="s">
        <v>19</v>
      </c>
      <c r="C93" s="3">
        <v>18.5</v>
      </c>
      <c r="D93" s="3">
        <v>861.65</v>
      </c>
      <c r="E93" s="3">
        <v>1101.08</v>
      </c>
      <c r="F93" s="15">
        <v>1002.87</v>
      </c>
      <c r="G93" s="15">
        <v>1232.96</v>
      </c>
      <c r="H93" s="10">
        <f t="shared" si="56"/>
        <v>1541.2</v>
      </c>
      <c r="I93" s="5">
        <v>5</v>
      </c>
      <c r="J93" s="4">
        <v>1</v>
      </c>
      <c r="K93" s="4">
        <v>3</v>
      </c>
      <c r="L93" s="4">
        <v>10</v>
      </c>
      <c r="M93" s="4">
        <v>10</v>
      </c>
      <c r="N93" s="6">
        <f t="shared" si="58"/>
        <v>70594.88238000001</v>
      </c>
      <c r="O93" s="6">
        <f t="shared" si="59"/>
        <v>70269.053580000007</v>
      </c>
      <c r="P93" s="6">
        <f t="shared" si="60"/>
        <v>70431.967980000016</v>
      </c>
      <c r="Q93" s="6">
        <f t="shared" si="61"/>
        <v>71002.168380000003</v>
      </c>
      <c r="R93" s="6">
        <f t="shared" si="62"/>
        <v>71002.168380000003</v>
      </c>
      <c r="S93" s="6">
        <f t="shared" si="36"/>
        <v>90098.179776000019</v>
      </c>
      <c r="T93" s="6">
        <f t="shared" si="37"/>
        <v>89772.350976000016</v>
      </c>
      <c r="U93" s="6">
        <f t="shared" si="38"/>
        <v>89935.265375999996</v>
      </c>
      <c r="V93" s="6">
        <f t="shared" si="39"/>
        <v>90505.465776000012</v>
      </c>
      <c r="W93" s="6">
        <f t="shared" si="40"/>
        <v>90505.465776000012</v>
      </c>
      <c r="X93" s="6">
        <f t="shared" si="41"/>
        <v>82098.268164000023</v>
      </c>
      <c r="Y93" s="6">
        <f t="shared" si="42"/>
        <v>81772.439364000005</v>
      </c>
      <c r="Z93" s="6">
        <f t="shared" si="43"/>
        <v>81935.353764000014</v>
      </c>
      <c r="AA93" s="6">
        <f t="shared" si="44"/>
        <v>82505.554164000001</v>
      </c>
      <c r="AB93" s="6">
        <f t="shared" si="45"/>
        <v>82505.554164000001</v>
      </c>
      <c r="AC93" s="6">
        <f t="shared" si="46"/>
        <v>100840.75531200001</v>
      </c>
      <c r="AD93" s="6">
        <f t="shared" si="47"/>
        <v>100514.92651200001</v>
      </c>
      <c r="AE93" s="6">
        <f t="shared" si="48"/>
        <v>100677.84091200001</v>
      </c>
      <c r="AF93" s="6">
        <f t="shared" si="49"/>
        <v>101248.04131200002</v>
      </c>
      <c r="AG93" s="6">
        <f t="shared" si="50"/>
        <v>101248.04131200002</v>
      </c>
      <c r="AH93" s="6">
        <f t="shared" si="51"/>
        <v>125949.12264000003</v>
      </c>
      <c r="AI93" s="6">
        <f t="shared" si="52"/>
        <v>125623.29384000003</v>
      </c>
      <c r="AJ93" s="6">
        <f t="shared" si="53"/>
        <v>125786.20824000002</v>
      </c>
      <c r="AK93" s="6">
        <f t="shared" si="54"/>
        <v>126356.40864000001</v>
      </c>
      <c r="AL93" s="6">
        <f t="shared" si="55"/>
        <v>126356.40864000001</v>
      </c>
    </row>
    <row r="94" spans="1:38" x14ac:dyDescent="0.35">
      <c r="A94" s="8" t="s">
        <v>93</v>
      </c>
      <c r="B94" s="2" t="s">
        <v>21</v>
      </c>
      <c r="C94" s="3">
        <v>22</v>
      </c>
      <c r="D94" s="3">
        <v>940.67</v>
      </c>
      <c r="E94" s="3">
        <v>1108.81</v>
      </c>
      <c r="F94" s="15">
        <v>1008.97</v>
      </c>
      <c r="G94" s="15">
        <v>1246.29</v>
      </c>
      <c r="H94" s="10">
        <f t="shared" si="56"/>
        <v>1557.8625</v>
      </c>
      <c r="I94" s="5">
        <v>5</v>
      </c>
      <c r="J94" s="4">
        <v>1</v>
      </c>
      <c r="K94" s="4">
        <v>3</v>
      </c>
      <c r="L94" s="4">
        <v>10</v>
      </c>
      <c r="M94" s="4">
        <v>10</v>
      </c>
      <c r="N94" s="6">
        <f t="shared" si="58"/>
        <v>77031.630323999998</v>
      </c>
      <c r="O94" s="6">
        <f t="shared" si="59"/>
        <v>76705.80152400001</v>
      </c>
      <c r="P94" s="6">
        <f t="shared" si="60"/>
        <v>76868.715924000004</v>
      </c>
      <c r="Q94" s="6">
        <f t="shared" si="61"/>
        <v>77438.916323999991</v>
      </c>
      <c r="R94" s="6">
        <f t="shared" si="62"/>
        <v>77438.916323999991</v>
      </c>
      <c r="S94" s="6">
        <f t="shared" si="36"/>
        <v>90727.843932000018</v>
      </c>
      <c r="T94" s="6">
        <f t="shared" si="37"/>
        <v>90402.015131999986</v>
      </c>
      <c r="U94" s="6">
        <f t="shared" si="38"/>
        <v>90564.929532000009</v>
      </c>
      <c r="V94" s="6">
        <f t="shared" si="39"/>
        <v>91135.129931999996</v>
      </c>
      <c r="W94" s="6">
        <f t="shared" si="40"/>
        <v>91135.129931999996</v>
      </c>
      <c r="X94" s="6">
        <f t="shared" si="41"/>
        <v>82595.157084000006</v>
      </c>
      <c r="Y94" s="6">
        <f t="shared" si="42"/>
        <v>82269.328284000017</v>
      </c>
      <c r="Z94" s="6">
        <f t="shared" si="43"/>
        <v>82432.242684000012</v>
      </c>
      <c r="AA94" s="6">
        <f t="shared" si="44"/>
        <v>83002.443083999999</v>
      </c>
      <c r="AB94" s="6">
        <f t="shared" si="45"/>
        <v>83002.443083999999</v>
      </c>
      <c r="AC94" s="6">
        <f t="shared" si="46"/>
        <v>101926.57978800002</v>
      </c>
      <c r="AD94" s="6">
        <f t="shared" si="47"/>
        <v>101600.75098800001</v>
      </c>
      <c r="AE94" s="6">
        <f t="shared" si="48"/>
        <v>101763.66538800002</v>
      </c>
      <c r="AF94" s="6">
        <f t="shared" si="49"/>
        <v>102333.86578800001</v>
      </c>
      <c r="AG94" s="6">
        <f t="shared" si="50"/>
        <v>102333.86578800001</v>
      </c>
      <c r="AH94" s="6">
        <f t="shared" si="51"/>
        <v>127306.40323500001</v>
      </c>
      <c r="AI94" s="6">
        <f t="shared" si="52"/>
        <v>126980.57443499999</v>
      </c>
      <c r="AJ94" s="6">
        <f t="shared" si="53"/>
        <v>127143.48883500001</v>
      </c>
      <c r="AK94" s="6">
        <f t="shared" si="54"/>
        <v>127713.68923500003</v>
      </c>
      <c r="AL94" s="6">
        <f t="shared" si="55"/>
        <v>127713.68923500003</v>
      </c>
    </row>
    <row r="95" spans="1:38" x14ac:dyDescent="0.35">
      <c r="A95" s="8" t="s">
        <v>93</v>
      </c>
      <c r="B95" s="2" t="s">
        <v>23</v>
      </c>
      <c r="C95" s="3">
        <v>30</v>
      </c>
      <c r="D95" s="3">
        <v>1255.1400000000001</v>
      </c>
      <c r="E95" s="3">
        <v>1360.34</v>
      </c>
      <c r="F95" s="15">
        <v>1266.23</v>
      </c>
      <c r="G95" s="15">
        <v>1699.49</v>
      </c>
      <c r="H95" s="10">
        <f t="shared" si="56"/>
        <v>2124.3625000000002</v>
      </c>
      <c r="I95" s="5">
        <v>5</v>
      </c>
      <c r="J95" s="4">
        <v>1</v>
      </c>
      <c r="K95" s="4">
        <v>3</v>
      </c>
      <c r="L95" s="4">
        <v>10</v>
      </c>
      <c r="M95" s="4">
        <v>10</v>
      </c>
      <c r="N95" s="6">
        <f t="shared" si="58"/>
        <v>102647.47600800001</v>
      </c>
      <c r="O95" s="6">
        <f t="shared" si="59"/>
        <v>102321.64720800001</v>
      </c>
      <c r="P95" s="6">
        <f t="shared" si="60"/>
        <v>102484.56160800002</v>
      </c>
      <c r="Q95" s="6">
        <f t="shared" si="61"/>
        <v>103054.76200800003</v>
      </c>
      <c r="R95" s="6">
        <f t="shared" si="62"/>
        <v>103054.76200800003</v>
      </c>
      <c r="S95" s="6">
        <f t="shared" si="36"/>
        <v>111216.77344800001</v>
      </c>
      <c r="T95" s="6">
        <f t="shared" si="37"/>
        <v>110890.944648</v>
      </c>
      <c r="U95" s="6">
        <f t="shared" si="38"/>
        <v>111053.85904799998</v>
      </c>
      <c r="V95" s="6">
        <f t="shared" si="39"/>
        <v>111624.059448</v>
      </c>
      <c r="W95" s="6">
        <f t="shared" si="40"/>
        <v>111624.059448</v>
      </c>
      <c r="X95" s="6">
        <f t="shared" si="41"/>
        <v>103550.83635600001</v>
      </c>
      <c r="Y95" s="6">
        <f t="shared" si="42"/>
        <v>103225.00755600003</v>
      </c>
      <c r="Z95" s="6">
        <f t="shared" si="43"/>
        <v>103387.92195600002</v>
      </c>
      <c r="AA95" s="6">
        <f t="shared" si="44"/>
        <v>103958.12235600001</v>
      </c>
      <c r="AB95" s="6">
        <f t="shared" si="45"/>
        <v>103958.12235600001</v>
      </c>
      <c r="AC95" s="6">
        <f t="shared" si="46"/>
        <v>138842.98282799998</v>
      </c>
      <c r="AD95" s="6">
        <f t="shared" si="47"/>
        <v>138517.15402800002</v>
      </c>
      <c r="AE95" s="6">
        <f t="shared" si="48"/>
        <v>138680.068428</v>
      </c>
      <c r="AF95" s="6">
        <f t="shared" si="49"/>
        <v>139250.268828</v>
      </c>
      <c r="AG95" s="6">
        <f t="shared" si="50"/>
        <v>139250.268828</v>
      </c>
      <c r="AH95" s="6">
        <f t="shared" si="51"/>
        <v>173451.90703500004</v>
      </c>
      <c r="AI95" s="6">
        <f t="shared" si="52"/>
        <v>173126.07823500005</v>
      </c>
      <c r="AJ95" s="6">
        <f t="shared" si="53"/>
        <v>173288.99263500006</v>
      </c>
      <c r="AK95" s="6">
        <f t="shared" si="54"/>
        <v>173859.19303500003</v>
      </c>
      <c r="AL95" s="6">
        <f t="shared" si="55"/>
        <v>173859.19303500003</v>
      </c>
    </row>
    <row r="96" spans="1:38" x14ac:dyDescent="0.35">
      <c r="A96" s="8" t="s">
        <v>93</v>
      </c>
      <c r="B96" s="2" t="s">
        <v>25</v>
      </c>
      <c r="C96" s="3">
        <v>37</v>
      </c>
      <c r="D96" s="3">
        <v>1529.85</v>
      </c>
      <c r="E96" s="3">
        <v>1902.16</v>
      </c>
      <c r="F96" s="15">
        <v>1648.26</v>
      </c>
      <c r="G96" s="15">
        <v>2106.3200000000002</v>
      </c>
      <c r="H96" s="10">
        <f t="shared" si="56"/>
        <v>2632.9</v>
      </c>
      <c r="I96" s="5">
        <v>5</v>
      </c>
      <c r="J96" s="4">
        <v>1</v>
      </c>
      <c r="K96" s="4">
        <v>3</v>
      </c>
      <c r="L96" s="4">
        <v>10</v>
      </c>
      <c r="M96" s="4">
        <v>10</v>
      </c>
      <c r="N96" s="6">
        <f t="shared" si="58"/>
        <v>125024.58342</v>
      </c>
      <c r="O96" s="6">
        <f t="shared" si="59"/>
        <v>124698.75462000002</v>
      </c>
      <c r="P96" s="6">
        <f t="shared" si="60"/>
        <v>124861.66902000002</v>
      </c>
      <c r="Q96" s="6">
        <f t="shared" si="61"/>
        <v>125431.86942</v>
      </c>
      <c r="R96" s="6">
        <f t="shared" si="62"/>
        <v>125431.86942</v>
      </c>
      <c r="S96" s="6">
        <f t="shared" si="36"/>
        <v>155351.91355200001</v>
      </c>
      <c r="T96" s="6">
        <f t="shared" si="37"/>
        <v>155026.08475200005</v>
      </c>
      <c r="U96" s="6">
        <f t="shared" si="38"/>
        <v>155188.99915200003</v>
      </c>
      <c r="V96" s="6">
        <f t="shared" si="39"/>
        <v>155759.19955200003</v>
      </c>
      <c r="W96" s="6">
        <f t="shared" si="40"/>
        <v>155759.19955200003</v>
      </c>
      <c r="X96" s="6">
        <f t="shared" si="41"/>
        <v>134669.93047200001</v>
      </c>
      <c r="Y96" s="6">
        <f t="shared" si="42"/>
        <v>134344.10167200002</v>
      </c>
      <c r="Z96" s="6">
        <f t="shared" si="43"/>
        <v>134507.01607200003</v>
      </c>
      <c r="AA96" s="6">
        <f t="shared" si="44"/>
        <v>135077.21647200003</v>
      </c>
      <c r="AB96" s="6">
        <f t="shared" si="45"/>
        <v>135077.21647200003</v>
      </c>
      <c r="AC96" s="6">
        <f t="shared" si="46"/>
        <v>171982.21550400005</v>
      </c>
      <c r="AD96" s="6">
        <f t="shared" si="47"/>
        <v>171656.38670400003</v>
      </c>
      <c r="AE96" s="6">
        <f t="shared" si="48"/>
        <v>171819.30110400004</v>
      </c>
      <c r="AF96" s="6">
        <f t="shared" si="49"/>
        <v>172389.50150400004</v>
      </c>
      <c r="AG96" s="6">
        <f t="shared" si="50"/>
        <v>172389.50150400004</v>
      </c>
      <c r="AH96" s="6">
        <f t="shared" si="51"/>
        <v>214875.94788000002</v>
      </c>
      <c r="AI96" s="6">
        <f t="shared" si="52"/>
        <v>214550.11908000003</v>
      </c>
      <c r="AJ96" s="6">
        <f t="shared" si="53"/>
        <v>214713.03348000001</v>
      </c>
      <c r="AK96" s="6">
        <f t="shared" si="54"/>
        <v>215283.23388000001</v>
      </c>
      <c r="AL96" s="6">
        <f t="shared" si="55"/>
        <v>215283.23388000001</v>
      </c>
    </row>
    <row r="97" spans="1:38" x14ac:dyDescent="0.35">
      <c r="A97" s="8" t="s">
        <v>93</v>
      </c>
      <c r="B97" s="2" t="s">
        <v>27</v>
      </c>
      <c r="C97" s="3">
        <v>45</v>
      </c>
      <c r="D97" s="3">
        <v>2145.33</v>
      </c>
      <c r="E97" s="3">
        <v>2311.23</v>
      </c>
      <c r="F97" s="15">
        <v>2077.9</v>
      </c>
      <c r="G97" s="15">
        <v>2646.27</v>
      </c>
      <c r="H97" s="10">
        <f t="shared" si="56"/>
        <v>3307.8375000000001</v>
      </c>
      <c r="I97" s="5">
        <v>5</v>
      </c>
      <c r="J97" s="4">
        <v>1</v>
      </c>
      <c r="K97" s="4">
        <v>3</v>
      </c>
      <c r="L97" s="4">
        <v>10</v>
      </c>
      <c r="M97" s="4">
        <v>10</v>
      </c>
      <c r="N97" s="6">
        <f t="shared" si="58"/>
        <v>175159.86087600002</v>
      </c>
      <c r="O97" s="6">
        <f t="shared" si="59"/>
        <v>174834.03207600003</v>
      </c>
      <c r="P97" s="6">
        <f t="shared" si="60"/>
        <v>174996.94647599998</v>
      </c>
      <c r="Q97" s="6">
        <f t="shared" si="61"/>
        <v>175567.14687600004</v>
      </c>
      <c r="R97" s="6">
        <f t="shared" si="62"/>
        <v>175567.14687600004</v>
      </c>
      <c r="S97" s="6">
        <f t="shared" si="36"/>
        <v>188673.61035600002</v>
      </c>
      <c r="T97" s="6">
        <f t="shared" si="37"/>
        <v>188347.78155600003</v>
      </c>
      <c r="U97" s="6">
        <f t="shared" si="38"/>
        <v>188510.69595600001</v>
      </c>
      <c r="V97" s="6">
        <f t="shared" si="39"/>
        <v>189080.89635600001</v>
      </c>
      <c r="W97" s="6">
        <f t="shared" si="40"/>
        <v>189080.89635600001</v>
      </c>
      <c r="X97" s="6">
        <f t="shared" si="41"/>
        <v>169667.20188000001</v>
      </c>
      <c r="Y97" s="6">
        <f t="shared" si="42"/>
        <v>169341.37308000002</v>
      </c>
      <c r="Z97" s="6">
        <f t="shared" si="43"/>
        <v>169504.28748000003</v>
      </c>
      <c r="AA97" s="6">
        <f t="shared" si="44"/>
        <v>170074.48788</v>
      </c>
      <c r="AB97" s="6">
        <f t="shared" si="45"/>
        <v>170074.48788</v>
      </c>
      <c r="AC97" s="6">
        <f t="shared" si="46"/>
        <v>215965.03064400001</v>
      </c>
      <c r="AD97" s="6">
        <f t="shared" si="47"/>
        <v>215639.20184400005</v>
      </c>
      <c r="AE97" s="6">
        <f t="shared" si="48"/>
        <v>215802.11624400006</v>
      </c>
      <c r="AF97" s="6">
        <f t="shared" si="49"/>
        <v>216372.31664400004</v>
      </c>
      <c r="AG97" s="6">
        <f t="shared" si="50"/>
        <v>216372.31664400004</v>
      </c>
      <c r="AH97" s="6">
        <f t="shared" si="51"/>
        <v>269854.46680499997</v>
      </c>
      <c r="AI97" s="6">
        <f t="shared" si="52"/>
        <v>269528.63800500002</v>
      </c>
      <c r="AJ97" s="6">
        <f t="shared" si="53"/>
        <v>269691.55240500002</v>
      </c>
      <c r="AK97" s="6">
        <f t="shared" si="54"/>
        <v>270261.752805</v>
      </c>
      <c r="AL97" s="6">
        <f t="shared" si="55"/>
        <v>270261.752805</v>
      </c>
    </row>
    <row r="98" spans="1:38" x14ac:dyDescent="0.35">
      <c r="A98" s="8" t="s">
        <v>93</v>
      </c>
      <c r="B98" s="2" t="s">
        <v>29</v>
      </c>
      <c r="C98" s="3">
        <v>55</v>
      </c>
      <c r="D98" s="3">
        <v>2207.65</v>
      </c>
      <c r="E98" s="3">
        <v>2653.62</v>
      </c>
      <c r="F98" s="15">
        <v>2356.1</v>
      </c>
      <c r="G98" s="15">
        <v>3001.37</v>
      </c>
      <c r="H98" s="10">
        <f t="shared" si="56"/>
        <v>3751.7124999999996</v>
      </c>
      <c r="I98" s="5">
        <v>5</v>
      </c>
      <c r="J98" s="4">
        <v>1</v>
      </c>
      <c r="K98" s="4">
        <v>3</v>
      </c>
      <c r="L98" s="4">
        <v>10</v>
      </c>
      <c r="M98" s="4">
        <v>10</v>
      </c>
      <c r="N98" s="6">
        <f t="shared" si="58"/>
        <v>180236.27358000001</v>
      </c>
      <c r="O98" s="6">
        <f t="shared" si="59"/>
        <v>179910.44478000002</v>
      </c>
      <c r="P98" s="6">
        <f t="shared" si="60"/>
        <v>180073.35918</v>
      </c>
      <c r="Q98" s="6">
        <f t="shared" si="61"/>
        <v>180643.55958</v>
      </c>
      <c r="R98" s="6">
        <f t="shared" si="62"/>
        <v>180643.55958</v>
      </c>
      <c r="S98" s="6">
        <f t="shared" si="36"/>
        <v>216563.74106400003</v>
      </c>
      <c r="T98" s="6">
        <f t="shared" si="37"/>
        <v>216237.91226400001</v>
      </c>
      <c r="U98" s="6">
        <f t="shared" si="38"/>
        <v>216400.82666400002</v>
      </c>
      <c r="V98" s="6">
        <f t="shared" si="39"/>
        <v>216971.02706400002</v>
      </c>
      <c r="W98" s="6">
        <f t="shared" si="40"/>
        <v>216971.02706400002</v>
      </c>
      <c r="X98" s="6">
        <f t="shared" si="41"/>
        <v>192328.59492000003</v>
      </c>
      <c r="Y98" s="6">
        <f t="shared" si="42"/>
        <v>192002.76612000004</v>
      </c>
      <c r="Z98" s="6">
        <f t="shared" si="43"/>
        <v>192165.68052000005</v>
      </c>
      <c r="AA98" s="6">
        <f t="shared" si="44"/>
        <v>192735.88092000003</v>
      </c>
      <c r="AB98" s="6">
        <f t="shared" si="45"/>
        <v>192735.88092000003</v>
      </c>
      <c r="AC98" s="6">
        <f t="shared" si="46"/>
        <v>244890.482364</v>
      </c>
      <c r="AD98" s="6">
        <f t="shared" si="47"/>
        <v>244564.65356400004</v>
      </c>
      <c r="AE98" s="6">
        <f t="shared" si="48"/>
        <v>244727.56796399996</v>
      </c>
      <c r="AF98" s="6">
        <f t="shared" si="49"/>
        <v>245297.76836399999</v>
      </c>
      <c r="AG98" s="6">
        <f t="shared" si="50"/>
        <v>245297.76836399999</v>
      </c>
      <c r="AH98" s="6">
        <f t="shared" si="51"/>
        <v>306011.28145499993</v>
      </c>
      <c r="AI98" s="6">
        <f t="shared" si="52"/>
        <v>305685.45265499997</v>
      </c>
      <c r="AJ98" s="6">
        <f t="shared" si="53"/>
        <v>305848.36705500004</v>
      </c>
      <c r="AK98" s="6">
        <f t="shared" si="54"/>
        <v>306418.56745499995</v>
      </c>
      <c r="AL98" s="6">
        <f t="shared" si="55"/>
        <v>306418.56745499995</v>
      </c>
    </row>
  </sheetData>
  <mergeCells count="3">
    <mergeCell ref="B1:G1"/>
    <mergeCell ref="A2:B2"/>
    <mergeCell ref="A59:B59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Chottanin Amonsintharaphong</cp:lastModifiedBy>
  <dcterms:created xsi:type="dcterms:W3CDTF">2026-03-23T06:03:47Z</dcterms:created>
  <dcterms:modified xsi:type="dcterms:W3CDTF">2026-04-28T03:12:16Z</dcterms:modified>
</cp:coreProperties>
</file>
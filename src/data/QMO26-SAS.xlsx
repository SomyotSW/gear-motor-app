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96AAE935-E063-4063-8BB0-52C73CD337D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" i="24" l="1"/>
  <c r="H22" i="24"/>
  <c r="H24" i="24"/>
  <c r="F49" i="24"/>
  <c r="H20" i="24"/>
  <c r="H49" i="24" s="1"/>
  <c r="H4" i="24"/>
  <c r="H50" i="24" l="1"/>
  <c r="H51" i="24" s="1"/>
</calcChain>
</file>

<file path=xl/sharedStrings.xml><?xml version="1.0" encoding="utf-8"?>
<sst xmlns="http://schemas.openxmlformats.org/spreadsheetml/2006/main" count="38" uniqueCount="38">
  <si>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</si>
  <si>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</si>
  <si>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</si>
  <si>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</si>
  <si>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</si>
  <si>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</si>
  <si>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</si>
  <si>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</si>
  <si>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</si>
  <si>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</si>
  <si>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</si>
  <si>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</si>
  <si>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</si>
  <si>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</si>
  <si>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</si>
  <si>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</si>
  <si>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</si>
  <si>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</si>
  <si>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</si>
  <si>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</si>
  <si>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</si>
  <si>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</si>
  <si>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</si>
  <si>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</si>
  <si>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</si>
  <si>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</si>
  <si>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</si>
  <si>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</si>
  <si>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</si>
  <si>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</si>
  <si>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</si>
  <si>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</si>
  <si>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</si>
  <si>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</si>
  <si>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Within 30-45 days</t>
  </si>
  <si>
    <t>QMO26-SAS-001</t>
  </si>
  <si>
    <t>SAS</t>
  </si>
  <si>
    <t>AC Gear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</si>
</sst>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39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b/>
      <sz val="10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i/>
      <sz val="10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32" fillId="0" borderId="0" applyFont="0" applyFill="0" applyBorder="0" applyAlignment="0" applyProtection="0"/>
  </cellStyleXfs>
  <cellXfs count="93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2" fillId="0" borderId="0" xfId="0" applyFont="1"/>
    <xf numFmtId="165" fontId="23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4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5" fillId="2" borderId="0" xfId="0" applyNumberFormat="1" applyFont="1" applyFill="1"/>
    <xf numFmtId="165" fontId="21" fillId="0" borderId="0" xfId="0" applyFont="1" applyAlignment="1">
      <alignment horizontal="center"/>
    </xf>
    <xf numFmtId="165" fontId="26" fillId="0" borderId="0" xfId="0" applyFont="1" applyAlignment="1">
      <alignment horizontal="center"/>
    </xf>
    <xf numFmtId="165" fontId="18" fillId="0" borderId="2" xfId="0" applyFont="1" applyBorder="1" applyAlignment="1">
      <alignment horizontal="left" vertical="center"/>
    </xf>
    <xf numFmtId="165" fontId="18" fillId="0" borderId="3" xfId="0" applyFont="1" applyBorder="1" applyAlignment="1">
      <alignment horizontal="left" vertical="center"/>
    </xf>
    <xf numFmtId="165" fontId="18" fillId="0" borderId="4" xfId="0" applyFont="1" applyBorder="1" applyAlignment="1">
      <alignment horizontal="left" vertical="center"/>
    </xf>
    <xf numFmtId="0" fontId="27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8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165" fontId="31" fillId="0" borderId="3" xfId="0" applyFont="1" applyBorder="1" applyAlignment="1">
      <alignment horizontal="left" vertical="center"/>
    </xf>
    <xf numFmtId="165" fontId="31" fillId="0" borderId="4" xfId="0" applyFont="1" applyBorder="1" applyAlignment="1">
      <alignment horizontal="left" vertical="center"/>
    </xf>
    <xf numFmtId="43" fontId="18" fillId="0" borderId="1" xfId="112" applyNumberFormat="1" applyFont="1" applyBorder="1" applyAlignment="1">
      <alignment horizontal="center" vertical="center"/>
    </xf>
    <xf numFmtId="165" fontId="18" fillId="0" borderId="3" xfId="0" applyFont="1" applyBorder="1" applyAlignment="1">
      <alignment horizontal="left" vertical="center" wrapText="1"/>
    </xf>
    <xf numFmtId="165" fontId="18" fillId="0" borderId="4" xfId="0" applyFont="1" applyBorder="1" applyAlignment="1">
      <alignment horizontal="left" vertical="center" wrapText="1"/>
    </xf>
    <xf numFmtId="1" fontId="18" fillId="0" borderId="6" xfId="0" applyNumberFormat="1" applyFont="1" applyBorder="1" applyAlignment="1">
      <alignment horizontal="center" vertical="center"/>
    </xf>
    <xf numFmtId="0" fontId="33" fillId="0" borderId="1" xfId="0" applyNumberFormat="1" applyFont="1" applyBorder="1" applyAlignment="1">
      <alignment horizontal="center" vertical="center"/>
    </xf>
    <xf numFmtId="165" fontId="28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4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36" fillId="0" borderId="2" xfId="0" applyFont="1" applyBorder="1" applyAlignment="1">
      <alignment horizontal="left" vertical="center"/>
    </xf>
    <xf numFmtId="165" fontId="2" fillId="0" borderId="2" xfId="0" applyFont="1" applyBorder="1" applyAlignment="1">
      <alignment horizontal="left" vertical="center"/>
    </xf>
    <xf numFmtId="0" fontId="37" fillId="0" borderId="1" xfId="0" applyNumberFormat="1" applyFont="1" applyBorder="1" applyAlignment="1">
      <alignment horizontal="center" vertical="center"/>
    </xf>
    <xf numFmtId="165" fontId="38" fillId="0" borderId="2" xfId="0" applyFont="1" applyBorder="1" applyAlignment="1">
      <alignment horizontal="left" vertical="center"/>
    </xf>
    <xf numFmtId="165" fontId="33" fillId="0" borderId="2" xfId="0" applyFont="1" applyBorder="1" applyAlignment="1">
      <alignment horizontal="left" vertical="center"/>
    </xf>
    <xf numFmtId="165" fontId="37" fillId="0" borderId="2" xfId="0" applyFont="1" applyBorder="1" applyAlignment="1">
      <alignment horizontal="left" vertical="center"/>
    </xf>
    <xf numFmtId="165" fontId="27" fillId="0" borderId="3" xfId="0" applyFont="1" applyBorder="1" applyAlignment="1">
      <alignment horizontal="left" vertical="center"/>
    </xf>
    <xf numFmtId="165" fontId="27" fillId="0" borderId="4" xfId="0" applyFont="1" applyBorder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165" fontId="35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165" fontId="13" fillId="0" borderId="0" xfId="0" applyFont="1" applyAlignment="1">
      <alignment horizontal="center"/>
    </xf>
    <xf numFmtId="44" fontId="29" fillId="2" borderId="0" xfId="0" applyNumberFormat="1" applyFont="1" applyFill="1" applyAlignment="1">
      <alignment horizontal="right" vertical="center"/>
    </xf>
    <xf numFmtId="165" fontId="37" fillId="0" borderId="2" xfId="0" applyFont="1" applyBorder="1" applyAlignment="1">
      <alignment horizontal="left" vertical="center"/>
    </xf>
    <xf numFmtId="165" fontId="37" fillId="0" borderId="3" xfId="0" applyFont="1" applyBorder="1" applyAlignment="1">
      <alignment horizontal="left" vertical="center"/>
    </xf>
    <xf numFmtId="165" fontId="37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465066</xdr:colOff>
      <xdr:row>0</xdr:row>
      <xdr:rowOff>15871</xdr:rowOff>
    </xdr:from>
    <xdr:to>
      <xdr:col>7</xdr:col>
      <xdr:colOff>1551201</xdr:colOff>
      <xdr:row>1</xdr:row>
      <xdr:rowOff>136520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8815917" y="15871"/>
          <a:ext cx="2995083" cy="1025524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r>
            <a:rPr lang="en-US" sz="2400" b="1" i="0" u="none" strike="noStrike" baseline="0">
              <a:solidFill>
                <a:srgbClr val="3B5E91"/>
              </a:solidFill>
              <a:latin typeface="Trebuchet MS"/>
            </a:rPr>
            <a:t>QUOTATION</a:t>
          </a:r>
        </a:p>
        <a:p>
          <a:pPr algn="r" rtl="0">
            <a:defRPr sz="1000"/>
          </a:pPr>
          <a:r>
            <a:rPr lang="th-TH" sz="1800" b="1" i="0" u="none" strike="noStrike" baseline="0">
              <a:solidFill>
                <a:srgbClr val="3B5E91"/>
              </a:solidFill>
              <a:latin typeface="Trebuchet MS"/>
            </a:rPr>
            <a:t>ใบเสนอราคา</a:t>
          </a: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>
    <xdr:from>
      <xdr:col>0</xdr:col>
      <xdr:colOff>142874</xdr:colOff>
      <xdr:row>51</xdr:row>
      <xdr:rowOff>12764</xdr:rowOff>
    </xdr:from>
    <xdr:to>
      <xdr:col>4</xdr:col>
      <xdr:colOff>2367949</xdr:colOff>
      <xdr:row>67</xdr:row>
      <xdr:rowOff>73354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/>
      </xdr:nvGrpSpPr>
      <xdr:grpSpPr>
        <a:xfrm>
          <a:off x="142874" y="15142329"/>
          <a:ext cx="8193983" cy="3152764"/>
          <a:chOff x="152400" y="10250543"/>
          <a:chExt cx="7652668" cy="2826224"/>
        </a:xfrm>
      </xdr:grpSpPr>
      <xdr:sp macro="" textlink="">
        <xdr:nvSpPr>
          <xdr:cNvPr id="4" name="Text Box 18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2400" y="10517715"/>
            <a:ext cx="3175000" cy="25590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______________________________________         </a:t>
            </a: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r>
              <a:rPr lang="en-US" sz="9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To confirm this quotation, sign here and return:  </a:t>
            </a:r>
          </a:p>
          <a:p>
            <a:pPr algn="l" rtl="0">
              <a:defRPr sz="1000"/>
            </a:pPr>
            <a:r>
              <a:rPr lang="en-US" sz="9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</a:t>
            </a:r>
          </a:p>
          <a:p>
            <a:pPr algn="l" rtl="0">
              <a:defRPr sz="1000"/>
            </a:pPr>
            <a:r>
              <a:rPr lang="en-US" sz="9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Date   ......./......../...........</a:t>
            </a: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sp macro="" textlink="">
        <xdr:nvSpPr>
          <xdr:cNvPr id="5" name="Text Box 18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98739" y="10250543"/>
            <a:ext cx="4106329" cy="254775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                                                                                                                         ____________________________________________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ctr" rtl="0">
              <a:defRPr sz="1000"/>
            </a:pPr>
            <a:br>
              <a:rPr lang="en-US" sz="1000" b="0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Mr. Chottanin A. (CA) </a:t>
            </a:r>
          </a:p>
          <a:p>
            <a:pPr algn="ctr" rtl="0"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TRANSMISSION PRODUCT MANAGER</a:t>
            </a:r>
            <a:b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</a:br>
            <a:r>
              <a:rPr lang="en-US" sz="12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081-921-6225</a:t>
            </a: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</xdr:grp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5</xdr:col>
      <xdr:colOff>615684</xdr:colOff>
      <xdr:row>51</xdr:row>
      <xdr:rowOff>103187</xdr:rowOff>
    </xdr:from>
    <xdr:to>
      <xdr:col>7</xdr:col>
      <xdr:colOff>1451768</xdr:colOff>
      <xdr:row>63</xdr:row>
      <xdr:rowOff>63500</xdr:rowOff>
    </xdr:to>
    <xdr:sp macro="" textlink="">
      <xdr:nvSpPr>
        <xdr:cNvPr id="7" name="Text Box 18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9100872" y="15382875"/>
          <a:ext cx="3272896" cy="23415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>
                  <a:alpha val="0"/>
                </a:srgbClr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r>
            <a:rPr lang="en-US" sz="900">
              <a:effectLst/>
            </a:rPr>
            <a:t> </a:t>
          </a: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</a:t>
          </a:r>
        </a:p>
        <a:p>
          <a:pPr algn="ctr" rtl="0">
            <a:defRPr sz="1000"/>
          </a:pP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 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Approve By</a:t>
          </a:r>
          <a:r>
            <a:rPr lang="en-US" sz="9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Mr.Traiwit Luengthong </a:t>
          </a:r>
          <a:r>
            <a:rPr lang="en-US" sz="1200" b="0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                                                                                                                                               </a:t>
          </a:r>
          <a:r>
            <a:rPr lang="en-US" sz="120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rPr>
            <a:t>SALE MANAGER</a:t>
          </a: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  <a:p>
          <a:pPr algn="l" rtl="0">
            <a:defRPr sz="1000"/>
          </a:pPr>
          <a:endParaRPr lang="en-US" sz="900" b="0" i="0" u="none" strike="noStrike" baseline="0">
            <a:solidFill>
              <a:srgbClr val="000000"/>
            </a:solidFill>
            <a:latin typeface="Tahoma" pitchFamily="34" charset="0"/>
            <a:ea typeface="Tahoma" pitchFamily="34" charset="0"/>
            <a:cs typeface="Tahoma" pitchFamily="34" charset="0"/>
          </a:endParaRPr>
        </a:p>
      </xdr:txBody>
    </xdr:sp>
    <xdr:clientData/>
  </xdr:twoCellAnchor>
  <xdr:twoCellAnchor>
    <xdr:from>
      <xdr:col>5</xdr:col>
      <xdr:colOff>151084</xdr:colOff>
      <xdr:row>7</xdr:row>
      <xdr:rowOff>111125</xdr:rowOff>
    </xdr:from>
    <xdr:to>
      <xdr:col>9</xdr:col>
      <xdr:colOff>20117</xdr:colOff>
      <xdr:row>14</xdr:row>
      <xdr:rowOff>79375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8488910" y="2154168"/>
          <a:ext cx="4212801" cy="1321077"/>
          <a:chOff x="8028215" y="2589250"/>
          <a:chExt cx="3625038" cy="824781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348694" y="288545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300" b="1" i="0" u="none" strike="noStrike" baseline="0">
                <a:solidFill>
                  <a:srgbClr val="000000"/>
                </a:solidFill>
                <a:latin typeface="Tahoma" pitchFamily="34" charset="0"/>
                <a:ea typeface="Tahoma" pitchFamily="34" charset="0"/>
                <a:cs typeface="Tahoma" pitchFamily="34" charset="0"/>
              </a:rPr>
              <a:t>LINE ID: @synergy.as                                                                                                                                                                                                                                                            </a:t>
            </a:r>
          </a:p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462103</xdr:colOff>
      <xdr:row>52</xdr:row>
      <xdr:rowOff>146823</xdr:rowOff>
    </xdr:from>
    <xdr:to>
      <xdr:col>7</xdr:col>
      <xdr:colOff>731977</xdr:colOff>
      <xdr:row>56</xdr:row>
      <xdr:rowOff>122886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80080D62-479D-43DA-9DEE-47D3B4F60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grayscl/>
        </a:blip>
        <a:srcRect/>
        <a:stretch>
          <a:fillRect/>
        </a:stretch>
      </xdr:blipFill>
      <xdr:spPr bwMode="auto">
        <a:xfrm>
          <a:off x="9582175" y="15598490"/>
          <a:ext cx="1401831" cy="822729"/>
        </a:xfrm>
        <a:prstGeom prst="rect">
          <a:avLst/>
        </a:prstGeom>
        <a:noFill/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showGridLines="0" tabSelected="1" view="pageBreakPreview" zoomScale="69" zoomScaleNormal="55" workbookViewId="0">
      <selection activeCell="D5" sqref="D5"/>
    </sheetView>
  </sheetViews>
  <sheetFormatPr defaultColWidth="8.81640625" defaultRowHeight="13.5" x14ac:dyDescent="0.35"/>
  <cols>
    <col min="1" max="1" width="12.1796875" style="3" customWidth="1"/>
    <col min="2" max="2" width="19.9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9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2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35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50">
        <f ca="1">TODAY()</f>
        <v>46084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51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9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6"/>
      <c r="C9" s="46"/>
      <c r="D9" s="46"/>
      <c r="E9" s="12"/>
      <c r="F9" s="5"/>
      <c r="G9" s="5"/>
    </row>
    <row r="10" spans="1:13" s="6" customFormat="1" ht="15" customHeight="1" x14ac:dyDescent="0.35">
      <c r="A10" s="4"/>
      <c r="B10" s="80"/>
      <c r="C10" s="80"/>
      <c r="D10" s="80"/>
      <c r="E10" s="80"/>
      <c r="F10" s="5"/>
      <c r="G10" s="5"/>
      <c r="M10"/>
    </row>
    <row r="11" spans="1:13" s="6" customFormat="1" ht="15" customHeight="1" x14ac:dyDescent="0.35">
      <c r="A11" s="4"/>
      <c r="B11" s="81"/>
      <c r="C11" s="81"/>
      <c r="D11" s="81"/>
      <c r="E11" s="47"/>
      <c r="F11" s="5"/>
      <c r="G11" s="5"/>
    </row>
    <row r="12" spans="1:13" s="6" customFormat="1" ht="15" customHeight="1" x14ac:dyDescent="0.35">
      <c r="A12" s="4"/>
      <c r="B12" s="82"/>
      <c r="C12" s="82"/>
      <c r="D12" s="82"/>
      <c r="E12" s="10"/>
      <c r="F12" s="5"/>
      <c r="G12" s="5"/>
    </row>
    <row r="13" spans="1:13" s="6" customFormat="1" ht="15" customHeight="1" x14ac:dyDescent="0.35">
      <c r="A13" s="4" t="s">
        <v>26</v>
      </c>
      <c r="B13" s="78"/>
      <c r="C13" s="79"/>
      <c r="D13" s="79"/>
      <c r="E13" s="10"/>
      <c r="F13" s="5"/>
      <c r="G13" s="5"/>
    </row>
    <row r="14" spans="1:13" s="6" customFormat="1" ht="15" customHeight="1" x14ac:dyDescent="0.35">
      <c r="A14" s="4" t="s">
        <v>24</v>
      </c>
      <c r="B14" s="61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8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64" t="s">
        <v>7</v>
      </c>
      <c r="B16" s="64" t="s">
        <v>6</v>
      </c>
      <c r="C16" s="64" t="s">
        <v>13</v>
      </c>
      <c r="D16" s="83" t="s">
        <v>1</v>
      </c>
      <c r="E16" s="83"/>
      <c r="F16" s="83" t="s">
        <v>2</v>
      </c>
      <c r="G16" s="84"/>
      <c r="H16" s="65" t="s">
        <v>3</v>
      </c>
    </row>
    <row r="17" spans="1:10" s="17" customFormat="1" ht="22.5" customHeight="1" x14ac:dyDescent="0.35">
      <c r="A17" s="45" t="s">
        <v>36</v>
      </c>
      <c r="B17" s="60" t="s">
        <v>33</v>
      </c>
      <c r="C17" s="45" t="s">
        <v>30</v>
      </c>
      <c r="D17" s="90" t="s">
        <v>37</v>
      </c>
      <c r="E17" s="90"/>
      <c r="F17" s="91" t="s">
        <v>34</v>
      </c>
      <c r="G17" s="91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62" t="s">
        <v>8</v>
      </c>
      <c r="B19" s="62" t="s">
        <v>31</v>
      </c>
      <c r="C19" s="92" t="s">
        <v>0</v>
      </c>
      <c r="D19" s="92"/>
      <c r="E19" s="92"/>
      <c r="F19" s="63" t="s">
        <v>4</v>
      </c>
      <c r="G19" s="63" t="s">
        <v>22</v>
      </c>
      <c r="H19" s="63" t="s">
        <v>5</v>
      </c>
    </row>
    <row r="20" spans="1:10" s="27" customFormat="1" ht="25" customHeight="1" x14ac:dyDescent="0.25">
      <c r="A20" s="59">
        <v>1</v>
      </c>
      <c r="B20" s="24"/>
      <c r="C20" s="41"/>
      <c r="D20" s="57"/>
      <c r="E20" s="58"/>
      <c r="F20" s="25">
        <v>1</v>
      </c>
      <c r="G20" s="56"/>
      <c r="H20" s="56">
        <f>G20*F20</f>
        <v>0</v>
      </c>
      <c r="I20" s="26"/>
    </row>
    <row r="21" spans="1:10" s="27" customFormat="1" ht="25" customHeight="1" x14ac:dyDescent="0.25">
      <c r="A21" s="24"/>
      <c r="B21" s="24"/>
      <c r="C21" s="41"/>
      <c r="D21" s="42"/>
      <c r="E21" s="43"/>
      <c r="F21" s="25"/>
      <c r="G21" s="68"/>
      <c r="H21" s="56"/>
      <c r="I21" s="26"/>
    </row>
    <row r="22" spans="1:10" s="27" customFormat="1" ht="25" customHeight="1" x14ac:dyDescent="0.25">
      <c r="A22" s="24"/>
      <c r="B22" s="24"/>
      <c r="C22" s="41"/>
      <c r="D22" s="42"/>
      <c r="E22" s="43"/>
      <c r="F22" s="25"/>
      <c r="G22" s="56"/>
      <c r="H22" s="56">
        <f t="shared" ref="H22:H24" si="0">G22*F22</f>
        <v>0</v>
      </c>
      <c r="I22" s="26"/>
    </row>
    <row r="23" spans="1:10" s="27" customFormat="1" ht="25" customHeight="1" x14ac:dyDescent="0.25">
      <c r="A23" s="59"/>
      <c r="B23" s="24"/>
      <c r="C23" s="73"/>
      <c r="D23" s="57"/>
      <c r="E23" s="58"/>
      <c r="F23" s="25"/>
      <c r="G23" s="56"/>
      <c r="H23" s="56"/>
      <c r="I23" s="26"/>
    </row>
    <row r="24" spans="1:10" ht="25" customHeight="1" x14ac:dyDescent="0.35">
      <c r="A24" s="24"/>
      <c r="B24" s="24"/>
      <c r="C24" s="41"/>
      <c r="D24" s="42"/>
      <c r="E24" s="43"/>
      <c r="F24" s="25"/>
      <c r="G24" s="68"/>
      <c r="H24" s="56">
        <f t="shared" si="0"/>
        <v>0</v>
      </c>
      <c r="J24" s="28"/>
    </row>
    <row r="25" spans="1:10" ht="25" customHeight="1" x14ac:dyDescent="0.35">
      <c r="A25" s="59"/>
      <c r="B25" s="24"/>
      <c r="C25" s="70"/>
      <c r="D25" s="57"/>
      <c r="E25" s="58"/>
      <c r="F25" s="25"/>
      <c r="G25" s="56"/>
      <c r="H25" s="56"/>
      <c r="J25" s="28"/>
    </row>
    <row r="26" spans="1:10" ht="25" customHeight="1" x14ac:dyDescent="0.35">
      <c r="A26" s="24"/>
      <c r="B26" s="24"/>
      <c r="C26" s="41"/>
      <c r="D26" s="42"/>
      <c r="E26" s="43"/>
      <c r="F26" s="25"/>
      <c r="G26" s="67"/>
      <c r="H26" s="56"/>
      <c r="J26" s="66"/>
    </row>
    <row r="27" spans="1:10" ht="25" customHeight="1" x14ac:dyDescent="0.35">
      <c r="A27" s="24"/>
      <c r="B27" s="24"/>
      <c r="C27" s="73"/>
      <c r="D27" s="42"/>
      <c r="E27" s="43"/>
      <c r="F27" s="25"/>
      <c r="G27" s="67"/>
      <c r="H27" s="56"/>
      <c r="J27" s="66"/>
    </row>
    <row r="28" spans="1:10" ht="25" customHeight="1" x14ac:dyDescent="0.35">
      <c r="A28" s="24"/>
      <c r="B28" s="24"/>
      <c r="C28" s="73"/>
      <c r="D28" s="42"/>
      <c r="E28" s="43"/>
      <c r="F28" s="25"/>
      <c r="G28" s="67"/>
      <c r="H28" s="56"/>
      <c r="J28" s="66"/>
    </row>
    <row r="29" spans="1:10" ht="25" customHeight="1" x14ac:dyDescent="0.35">
      <c r="A29" s="24"/>
      <c r="B29" s="24"/>
      <c r="C29" s="73"/>
      <c r="D29" s="42"/>
      <c r="E29" s="43"/>
      <c r="F29" s="25"/>
      <c r="G29" s="56"/>
      <c r="H29" s="56"/>
      <c r="J29" s="66"/>
    </row>
    <row r="30" spans="1:10" ht="25" customHeight="1" x14ac:dyDescent="0.35">
      <c r="A30" s="59"/>
      <c r="B30" s="24"/>
      <c r="C30" s="41"/>
      <c r="D30" s="57"/>
      <c r="E30" s="58"/>
      <c r="F30" s="25"/>
      <c r="G30" s="56"/>
      <c r="H30" s="56"/>
      <c r="J30" s="66"/>
    </row>
    <row r="31" spans="1:10" ht="25" customHeight="1" x14ac:dyDescent="0.35">
      <c r="A31" s="24"/>
      <c r="B31" s="24"/>
      <c r="C31" s="41"/>
      <c r="D31" s="42"/>
      <c r="E31" s="43"/>
      <c r="F31" s="25"/>
      <c r="G31" s="68"/>
      <c r="H31" s="56"/>
      <c r="J31" s="66"/>
    </row>
    <row r="32" spans="1:10" ht="25" customHeight="1" x14ac:dyDescent="0.35">
      <c r="A32" s="59"/>
      <c r="B32" s="24"/>
      <c r="C32" s="70"/>
      <c r="D32" s="57"/>
      <c r="E32" s="58"/>
      <c r="F32" s="25"/>
      <c r="G32" s="56"/>
      <c r="H32" s="56"/>
      <c r="J32" s="66"/>
    </row>
    <row r="33" spans="1:10" ht="25" customHeight="1" x14ac:dyDescent="0.35">
      <c r="A33" s="24"/>
      <c r="B33" s="24"/>
      <c r="C33" s="41"/>
      <c r="D33" s="42"/>
      <c r="E33" s="43"/>
      <c r="F33" s="25"/>
      <c r="G33" s="67"/>
      <c r="H33" s="56"/>
      <c r="J33" s="66"/>
    </row>
    <row r="34" spans="1:10" ht="25" customHeight="1" x14ac:dyDescent="0.35">
      <c r="A34" s="24"/>
      <c r="B34" s="24"/>
      <c r="C34" s="69"/>
      <c r="D34" s="42"/>
      <c r="E34" s="43"/>
      <c r="F34" s="25"/>
      <c r="G34" s="67"/>
      <c r="H34" s="56"/>
      <c r="J34" s="66"/>
    </row>
    <row r="35" spans="1:10" ht="25" customHeight="1" x14ac:dyDescent="0.35">
      <c r="A35" s="24"/>
      <c r="B35" s="24"/>
      <c r="C35" s="41"/>
      <c r="D35" s="42"/>
      <c r="E35" s="43"/>
      <c r="F35" s="25"/>
      <c r="G35" s="67"/>
      <c r="H35" s="56"/>
      <c r="J35" s="66"/>
    </row>
    <row r="36" spans="1:10" ht="25" customHeight="1" x14ac:dyDescent="0.35">
      <c r="A36" s="24"/>
      <c r="B36" s="24"/>
      <c r="C36" s="69"/>
      <c r="D36" s="42"/>
      <c r="E36" s="43"/>
      <c r="F36" s="25"/>
      <c r="G36" s="67"/>
      <c r="H36" s="56"/>
      <c r="J36" s="66"/>
    </row>
    <row r="37" spans="1:10" ht="25" customHeight="1" x14ac:dyDescent="0.35">
      <c r="A37" s="24"/>
      <c r="B37" s="24"/>
      <c r="C37" s="41"/>
      <c r="D37" s="42"/>
      <c r="E37" s="43"/>
      <c r="F37" s="25"/>
      <c r="G37" s="67"/>
      <c r="H37" s="56"/>
      <c r="J37" s="66"/>
    </row>
    <row r="38" spans="1:10" ht="25" customHeight="1" x14ac:dyDescent="0.35">
      <c r="A38" s="24"/>
      <c r="B38" s="24"/>
      <c r="C38" s="41"/>
      <c r="D38" s="42"/>
      <c r="E38" s="43"/>
      <c r="F38" s="25"/>
      <c r="G38" s="56"/>
      <c r="H38" s="56"/>
      <c r="J38" s="28"/>
    </row>
    <row r="39" spans="1:10" ht="25" customHeight="1" x14ac:dyDescent="0.35">
      <c r="A39" s="59"/>
      <c r="B39" s="24"/>
      <c r="C39" s="41"/>
      <c r="D39"/>
      <c r="E39"/>
      <c r="F39" s="25"/>
      <c r="G39" s="56"/>
      <c r="H39" s="56"/>
      <c r="J39" s="28"/>
    </row>
    <row r="40" spans="1:10" ht="25" customHeight="1" x14ac:dyDescent="0.35">
      <c r="A40" s="24"/>
      <c r="B40" s="24"/>
      <c r="C40" s="41"/>
      <c r="D40" s="42"/>
      <c r="E40" s="43"/>
      <c r="F40" s="25"/>
      <c r="G40" s="68"/>
      <c r="H40" s="56"/>
      <c r="J40" s="28"/>
    </row>
    <row r="41" spans="1:10" ht="25" customHeight="1" x14ac:dyDescent="0.35">
      <c r="A41" s="59"/>
      <c r="B41" s="24"/>
      <c r="C41" s="70"/>
      <c r="D41" s="57"/>
      <c r="E41" s="58"/>
      <c r="F41" s="25"/>
      <c r="G41" s="56"/>
      <c r="H41" s="56"/>
      <c r="J41" s="28"/>
    </row>
    <row r="42" spans="1:10" ht="25" customHeight="1" x14ac:dyDescent="0.35">
      <c r="A42" s="24"/>
      <c r="B42" s="24"/>
      <c r="C42" s="41"/>
      <c r="D42" s="42"/>
      <c r="E42" s="43"/>
      <c r="F42" s="25"/>
      <c r="G42" s="67"/>
      <c r="H42" s="56"/>
      <c r="J42" s="28"/>
    </row>
    <row r="43" spans="1:10" ht="25" customHeight="1" x14ac:dyDescent="0.35">
      <c r="A43" s="24"/>
      <c r="B43" s="24"/>
      <c r="C43" s="70"/>
      <c r="D43" s="57"/>
      <c r="E43" s="58"/>
      <c r="F43" s="25"/>
      <c r="G43" s="67"/>
      <c r="H43" s="56"/>
      <c r="J43" s="28"/>
    </row>
    <row r="44" spans="1:10" ht="25" customHeight="1" x14ac:dyDescent="0.35">
      <c r="A44" s="59"/>
      <c r="B44" s="24"/>
      <c r="C44" s="41"/>
      <c r="D44" s="42"/>
      <c r="E44" s="43"/>
      <c r="F44" s="25"/>
      <c r="G44" s="56"/>
      <c r="H44" s="56"/>
      <c r="J44" s="28"/>
    </row>
    <row r="45" spans="1:10" ht="25" customHeight="1" x14ac:dyDescent="0.35">
      <c r="A45" s="24"/>
      <c r="B45" s="44"/>
      <c r="C45" s="41"/>
      <c r="D45" s="42"/>
      <c r="E45" s="43"/>
      <c r="F45" s="25"/>
      <c r="G45" s="24"/>
      <c r="H45" s="56"/>
      <c r="J45" s="28"/>
    </row>
    <row r="46" spans="1:10" ht="25" customHeight="1" x14ac:dyDescent="0.35">
      <c r="A46" s="24"/>
      <c r="B46" s="71"/>
      <c r="C46" s="72"/>
      <c r="D46" s="54"/>
      <c r="E46" s="55"/>
      <c r="F46" s="25"/>
      <c r="G46" s="24"/>
      <c r="H46" s="56"/>
      <c r="J46" s="28"/>
    </row>
    <row r="47" spans="1:10" ht="25" customHeight="1" x14ac:dyDescent="0.35">
      <c r="A47" s="24"/>
      <c r="B47" s="71"/>
      <c r="C47" s="74"/>
      <c r="D47" s="75"/>
      <c r="E47" s="76"/>
      <c r="F47" s="25"/>
      <c r="G47" s="24"/>
      <c r="H47" s="56"/>
      <c r="J47" s="28"/>
    </row>
    <row r="48" spans="1:10" s="31" customFormat="1" ht="25" customHeight="1" x14ac:dyDescent="0.35">
      <c r="A48" s="23"/>
      <c r="B48" s="29"/>
      <c r="C48" s="87"/>
      <c r="D48" s="88"/>
      <c r="E48" s="89"/>
      <c r="F48" s="30"/>
      <c r="G48" s="41"/>
      <c r="H48" s="56"/>
    </row>
    <row r="49" spans="1:8" ht="25" customHeight="1" x14ac:dyDescent="0.35">
      <c r="A49" s="15"/>
      <c r="B49" s="15"/>
      <c r="C49" s="15"/>
      <c r="D49" s="15"/>
      <c r="E49" s="15"/>
      <c r="F49" s="53">
        <f>SUM(F20:F47)</f>
        <v>1</v>
      </c>
      <c r="G49" s="77" t="s">
        <v>17</v>
      </c>
      <c r="H49" s="52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77" t="s">
        <v>28</v>
      </c>
      <c r="H50" s="52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77" t="s">
        <v>29</v>
      </c>
      <c r="H51" s="52">
        <f>SUM(H49:H50)</f>
        <v>0</v>
      </c>
    </row>
    <row r="52" spans="1:8" ht="25" customHeight="1" x14ac:dyDescent="0.35">
      <c r="A52" s="33"/>
      <c r="B52" s="33"/>
      <c r="C52" s="33"/>
      <c r="D52" s="15"/>
      <c r="E52" s="15"/>
      <c r="F52" s="34"/>
      <c r="G52" s="86" t="str">
        <f>"("&amp;BAHTTEXT(H$51)&amp;")"</f>
        <v>(ศูนย์บาทถ้วน)</v>
      </c>
      <c r="H52" s="86"/>
    </row>
    <row r="53" spans="1:8" ht="25" customHeight="1" x14ac:dyDescent="0.35">
      <c r="A53" s="35"/>
      <c r="B53" s="36"/>
      <c r="C53" s="37"/>
      <c r="D53" s="15"/>
      <c r="E53" s="15"/>
      <c r="F53" s="34"/>
      <c r="G53" s="38"/>
    </row>
    <row r="54" spans="1:8" x14ac:dyDescent="0.35">
      <c r="A54" s="35"/>
      <c r="B54" s="37"/>
      <c r="C54" s="37"/>
      <c r="D54" s="15"/>
      <c r="E54" s="15"/>
      <c r="F54" s="15"/>
      <c r="G54" s="15"/>
    </row>
    <row r="55" spans="1:8" x14ac:dyDescent="0.35">
      <c r="B55" s="39"/>
      <c r="C55" s="17"/>
      <c r="D55" s="17"/>
      <c r="E55" s="17"/>
      <c r="F55" s="17"/>
    </row>
    <row r="56" spans="1:8" x14ac:dyDescent="0.35">
      <c r="B56" s="40"/>
      <c r="C56" s="17"/>
      <c r="D56" s="17"/>
      <c r="E56" s="17"/>
      <c r="F56" s="17"/>
    </row>
    <row r="58" spans="1:8" x14ac:dyDescent="0.35">
      <c r="A58" s="39"/>
      <c r="B58" s="39"/>
      <c r="C58" s="39"/>
      <c r="D58" s="39"/>
      <c r="E58" s="39"/>
      <c r="F58" s="39"/>
      <c r="G58" s="39"/>
    </row>
    <row r="61" spans="1:8" x14ac:dyDescent="0.35">
      <c r="D61" s="85"/>
      <c r="E61" s="85"/>
    </row>
  </sheetData>
  <mergeCells count="9">
    <mergeCell ref="B12:D12"/>
    <mergeCell ref="D16:E16"/>
    <mergeCell ref="F16:G16"/>
    <mergeCell ref="D61:E61"/>
    <mergeCell ref="G52:H52"/>
    <mergeCell ref="C48:E48"/>
    <mergeCell ref="D17:E17"/>
    <mergeCell ref="F17:G17"/>
    <mergeCell ref="C19:E19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2026-03-03T08:12:36Z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
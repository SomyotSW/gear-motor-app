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aruj\gear-motor-app\src\data\"/>
    </mc:Choice>
  </mc:AlternateContent>
  <xr:revisionPtr revIDLastSave="0" documentId="13_ncr:1_{9304B5B4-D5DB-4DA7-9CC9-6DEF51619DE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 Quote  (2)" sheetId="24" r:id="rId1"/>
  </sheets>
  <definedNames>
    <definedName name="address1" localSheetId="0">#REF!</definedName>
    <definedName name="address1">#REF!</definedName>
    <definedName name="address2" localSheetId="0">#REF!</definedName>
    <definedName name="address2">#REF!</definedName>
    <definedName name="address3" localSheetId="0">#REF!</definedName>
    <definedName name="address3">#REF!</definedName>
    <definedName name="Com_name" localSheetId="0">#REF!</definedName>
    <definedName name="Com_name">#REF!</definedName>
    <definedName name="Cus_code" localSheetId="0">#REF!</definedName>
    <definedName name="Cus_code">#REF!</definedName>
    <definedName name="cus_data" localSheetId="0">#REF!</definedName>
    <definedName name="cus_data">#REF!</definedName>
    <definedName name="cus_name" localSheetId="0">#REF!</definedName>
    <definedName name="cus_name">#REF!</definedName>
    <definedName name="dept" localSheetId="0">#REF!</definedName>
    <definedName name="dept">#REF!</definedName>
    <definedName name="email" localSheetId="0">#REF!</definedName>
    <definedName name="email">#REF!</definedName>
    <definedName name="fax" localSheetId="0">#REF!</definedName>
    <definedName name="fax">#REF!</definedName>
    <definedName name="No." localSheetId="0">#REF!</definedName>
    <definedName name="No.">#REF!</definedName>
    <definedName name="_xlnm.Print_Area" localSheetId="0">'Sales Quote  (2)'!$A$1:$H$65</definedName>
    <definedName name="_xlnm.Print_Titles" localSheetId="0">'Sales Quote  (2)'!$1:$19</definedName>
    <definedName name="tel" localSheetId="0">#REF!</definedName>
    <definedName name="t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24" l="1"/>
  <c r="H20" i="24"/>
  <c r="H51" i="24" s="1"/>
  <c r="H4" i="24"/>
  <c r="H52" i="24" l="1"/>
  <c r="H53" i="24" s="1"/>
  <c r="G54" i="24" s="1"/>
</calcChain>
</file>

<file path=xl/sharedStrings.xml><?xml version="1.0" encoding="utf-8"?>
<sst xmlns="http://schemas.openxmlformats.org/spreadsheetml/2006/main" count="38" uniqueCount="38">
  <si>
    <t>DESCRIPTION</t>
  </si>
  <si>
    <t>JOB</t>
  </si>
  <si>
    <t>DELIVERY 
DATE</t>
  </si>
  <si>
    <t>PAYMENT 
TERMS</t>
  </si>
  <si>
    <t>QTY</t>
  </si>
  <si>
    <t>TOTAL</t>
  </si>
  <si>
    <t>Warranty</t>
  </si>
  <si>
    <t>SALES</t>
  </si>
  <si>
    <t xml:space="preserve">ITEM </t>
  </si>
  <si>
    <t>Quotation NO.:</t>
  </si>
  <si>
    <t>Date.:</t>
  </si>
  <si>
    <t>Customer ID.:</t>
  </si>
  <si>
    <t>Expritation Date.:</t>
  </si>
  <si>
    <t>SHIPPING METHOD</t>
  </si>
  <si>
    <t>Synergy Asia Solution Co.,ltd</t>
  </si>
  <si>
    <t>Aumphur Bangplee,</t>
  </si>
  <si>
    <t>Samutprakarn 10540</t>
  </si>
  <si>
    <t>Total</t>
  </si>
  <si>
    <t>Fax (+66) 02-7511953</t>
  </si>
  <si>
    <t>Tel (+66) 02-3164752-55</t>
  </si>
  <si>
    <t xml:space="preserve">101/101 Moo 7, Tambol Bangpleeyai, </t>
  </si>
  <si>
    <t>30 day</t>
  </si>
  <si>
    <t>UNITPRICE</t>
  </si>
  <si>
    <t>-</t>
  </si>
  <si>
    <t>Tel :</t>
  </si>
  <si>
    <t>Fax :</t>
  </si>
  <si>
    <t>Email :</t>
  </si>
  <si>
    <t xml:space="preserve">To :     </t>
  </si>
  <si>
    <t>VAT 7%</t>
  </si>
  <si>
    <t>Total Price</t>
  </si>
  <si>
    <t>Car</t>
  </si>
  <si>
    <t>Code</t>
  </si>
  <si>
    <t>Credit 30 days</t>
  </si>
  <si>
    <t>18 Months</t>
  </si>
  <si>
    <t>Within 30-45 days</t>
  </si>
  <si>
    <t>QMO26-SAS-001</t>
  </si>
  <si>
    <t>SAS</t>
  </si>
  <si>
    <t>AC Gear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</si>
</sst>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mmmm\ d\,\ yyyy;@"/>
    <numFmt numFmtId="166" formatCode="m/d/yy;@"/>
    <numFmt numFmtId="167" formatCode="&quot;$&quot;#,##0.00"/>
    <numFmt numFmtId="168" formatCode="[$-1070000]d/mm/yyyy;@"/>
  </numFmts>
  <fonts count="42" x14ac:knownFonts="1">
    <font>
      <sz val="10"/>
      <name val="Arial"/>
    </font>
    <font>
      <sz val="10"/>
      <name val="Arial"/>
      <family val="2"/>
    </font>
    <font>
      <sz val="12"/>
      <name val="Tahoma"/>
      <family val="2"/>
    </font>
    <font>
      <u/>
      <sz val="10"/>
      <color theme="10"/>
      <name val="Arial"/>
      <family val="2"/>
    </font>
    <font>
      <sz val="14"/>
      <name val="Cordia New"/>
      <family val="2"/>
    </font>
    <font>
      <u/>
      <sz val="10"/>
      <color indexed="12"/>
      <name val="Arial"/>
      <family val="2"/>
    </font>
    <font>
      <u/>
      <sz val="10"/>
      <color theme="11"/>
      <name val="Arial"/>
      <family val="2"/>
    </font>
    <font>
      <sz val="1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20"/>
      <color theme="1"/>
      <name val="Trebuchet MS"/>
      <family val="2"/>
    </font>
    <font>
      <sz val="10"/>
      <color theme="1"/>
      <name val="Trebuchet MS"/>
      <family val="2"/>
    </font>
    <font>
      <b/>
      <sz val="12"/>
      <color theme="1"/>
      <name val="Tahoma"/>
      <family val="2"/>
    </font>
    <font>
      <b/>
      <sz val="8"/>
      <color theme="1"/>
      <name val="Trebuchet MS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sz val="8"/>
      <color theme="1"/>
      <name val="Trebuchet MS"/>
      <family val="2"/>
    </font>
    <font>
      <sz val="15"/>
      <color theme="1"/>
      <name val="Trebuchet MS"/>
      <family val="2"/>
    </font>
    <font>
      <b/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sz val="12"/>
      <color theme="1"/>
      <name val="Trebuchet MS"/>
      <family val="2"/>
    </font>
    <font>
      <sz val="10"/>
      <color theme="1"/>
      <name val="Tahoma"/>
      <family val="2"/>
    </font>
    <font>
      <i/>
      <sz val="8"/>
      <color theme="1"/>
      <name val="Trebuchet MS"/>
      <family val="2"/>
    </font>
    <font>
      <b/>
      <sz val="9"/>
      <color theme="1"/>
      <name val="Trebuchet MS"/>
      <family val="2"/>
    </font>
    <font>
      <b/>
      <i/>
      <sz val="10"/>
      <color theme="1"/>
      <name val="Trebuchet MS"/>
      <family val="2"/>
    </font>
    <font>
      <b/>
      <u/>
      <sz val="12"/>
      <color theme="1"/>
      <name val="Tahoma"/>
      <family val="2"/>
    </font>
    <font>
      <sz val="11"/>
      <color theme="1"/>
      <name val="Tahoma"/>
      <family val="2"/>
    </font>
    <font>
      <sz val="10"/>
      <color theme="0" tint="-0.499984740745262"/>
      <name val="Tahoma"/>
      <family val="2"/>
    </font>
    <font>
      <sz val="12"/>
      <color theme="0" tint="-0.499984740745262"/>
      <name val="Tahoma"/>
      <family val="2"/>
    </font>
    <font>
      <u/>
      <sz val="12"/>
      <color theme="1"/>
      <name val="Tahoma"/>
      <family val="2"/>
    </font>
    <font>
      <sz val="10"/>
      <name val="Arial"/>
      <family val="2"/>
    </font>
    <font>
      <b/>
      <sz val="12"/>
      <color rgb="FF0070C0"/>
      <name val="Tahoma"/>
      <family val="2"/>
    </font>
    <font>
      <u/>
      <sz val="12"/>
      <color rgb="FF0070C0"/>
      <name val="Tahoma"/>
      <family val="2"/>
    </font>
    <font>
      <u val="singleAccounting"/>
      <sz val="12"/>
      <color theme="1"/>
      <name val="Tahoma"/>
      <family val="2"/>
    </font>
    <font>
      <sz val="11"/>
      <name val="Arial"/>
      <family val="2"/>
    </font>
    <font>
      <b/>
      <i/>
      <u/>
      <sz val="12"/>
      <color rgb="FF0070C0"/>
      <name val="Tahoma"/>
      <family val="2"/>
    </font>
    <font>
      <b/>
      <u/>
      <sz val="12"/>
      <color rgb="FF0070C0"/>
      <name val="Tahoma"/>
      <family val="2"/>
    </font>
    <font>
      <sz val="12"/>
      <color rgb="FF0070C0"/>
      <name val="Tahoma"/>
      <family val="2"/>
    </font>
    <font>
      <b/>
      <u val="doubleAccounting"/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</borders>
  <cellStyleXfs count="113">
    <xf numFmtId="165" fontId="0" fillId="0" borderId="0"/>
    <xf numFmtId="165" fontId="1" fillId="0" borderId="0"/>
    <xf numFmtId="165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5" fontId="4" fillId="0" borderId="0"/>
    <xf numFmtId="165" fontId="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6" fillId="0" borderId="0" applyNumberFormat="0" applyFill="0" applyBorder="0" applyAlignment="0" applyProtection="0"/>
    <xf numFmtId="165" fontId="1" fillId="0" borderId="0"/>
    <xf numFmtId="165" fontId="8" fillId="0" borderId="0"/>
    <xf numFmtId="165" fontId="1" fillId="0" borderId="0"/>
    <xf numFmtId="165" fontId="1" fillId="0" borderId="0"/>
    <xf numFmtId="165" fontId="1" fillId="0" borderId="0"/>
    <xf numFmtId="43" fontId="9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44" fontId="33" fillId="0" borderId="0" applyFont="0" applyFill="0" applyBorder="0" applyAlignment="0" applyProtection="0"/>
  </cellStyleXfs>
  <cellXfs count="101">
    <xf numFmtId="165" fontId="0" fillId="0" borderId="0" xfId="0"/>
    <xf numFmtId="165" fontId="12" fillId="0" borderId="0" xfId="0" applyFont="1"/>
    <xf numFmtId="165" fontId="11" fillId="0" borderId="0" xfId="0" applyFont="1"/>
    <xf numFmtId="165" fontId="13" fillId="0" borderId="0" xfId="0" applyFont="1"/>
    <xf numFmtId="165" fontId="14" fillId="0" borderId="0" xfId="0" applyFont="1"/>
    <xf numFmtId="165" fontId="14" fillId="0" borderId="0" xfId="0" applyFont="1" applyAlignment="1">
      <alignment horizontal="left" indent="1"/>
    </xf>
    <xf numFmtId="165" fontId="15" fillId="0" borderId="0" xfId="0" applyFont="1"/>
    <xf numFmtId="165" fontId="14" fillId="0" borderId="0" xfId="0" applyFont="1" applyAlignment="1">
      <alignment horizontal="right"/>
    </xf>
    <xf numFmtId="165" fontId="16" fillId="0" borderId="0" xfId="0" applyFont="1" applyAlignment="1">
      <alignment horizontal="right"/>
    </xf>
    <xf numFmtId="49" fontId="14" fillId="0" borderId="0" xfId="0" applyNumberFormat="1" applyFont="1"/>
    <xf numFmtId="165" fontId="14" fillId="0" borderId="0" xfId="0" applyFont="1" applyAlignment="1">
      <alignment horizontal="left"/>
    </xf>
    <xf numFmtId="165" fontId="14" fillId="0" borderId="0" xfId="2" applyFont="1" applyAlignment="1">
      <alignment horizontal="left"/>
    </xf>
    <xf numFmtId="165" fontId="18" fillId="0" borderId="0" xfId="0" applyFont="1" applyAlignment="1">
      <alignment horizontal="left"/>
    </xf>
    <xf numFmtId="165" fontId="18" fillId="0" borderId="0" xfId="0" applyFont="1"/>
    <xf numFmtId="165" fontId="18" fillId="0" borderId="0" xfId="0" applyFont="1" applyAlignment="1">
      <alignment horizontal="left" indent="1"/>
    </xf>
    <xf numFmtId="165" fontId="19" fillId="0" borderId="0" xfId="0" applyFont="1"/>
    <xf numFmtId="165" fontId="13" fillId="0" borderId="0" xfId="0" applyFont="1" applyAlignment="1">
      <alignment wrapText="1"/>
    </xf>
    <xf numFmtId="165" fontId="13" fillId="0" borderId="0" xfId="0" applyFont="1" applyAlignment="1">
      <alignment horizontal="center"/>
    </xf>
    <xf numFmtId="165" fontId="18" fillId="0" borderId="2" xfId="0" applyFont="1" applyBorder="1" applyAlignment="1">
      <alignment horizontal="center"/>
    </xf>
    <xf numFmtId="165" fontId="18" fillId="0" borderId="3" xfId="0" applyFont="1" applyBorder="1" applyAlignment="1">
      <alignment horizontal="center"/>
    </xf>
    <xf numFmtId="166" fontId="18" fillId="0" borderId="3" xfId="0" applyNumberFormat="1" applyFont="1" applyBorder="1" applyAlignment="1">
      <alignment horizontal="center"/>
    </xf>
    <xf numFmtId="165" fontId="18" fillId="0" borderId="3" xfId="0" applyFont="1" applyBorder="1" applyAlignment="1">
      <alignment horizontal="center" wrapText="1"/>
    </xf>
    <xf numFmtId="165" fontId="13" fillId="0" borderId="3" xfId="0" applyFont="1" applyBorder="1" applyAlignment="1">
      <alignment horizont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5" fontId="13" fillId="0" borderId="0" xfId="0" applyFont="1" applyAlignment="1">
      <alignment vertical="center"/>
    </xf>
    <xf numFmtId="3" fontId="20" fillId="0" borderId="0" xfId="0" applyNumberFormat="1" applyFont="1" applyAlignment="1">
      <alignment horizontal="center" vertical="center"/>
    </xf>
    <xf numFmtId="165" fontId="21" fillId="0" borderId="0" xfId="0" applyFont="1"/>
    <xf numFmtId="165" fontId="14" fillId="0" borderId="1" xfId="0" applyFont="1" applyBorder="1" applyAlignment="1">
      <alignment horizontal="center" vertical="center"/>
    </xf>
    <xf numFmtId="165" fontId="18" fillId="0" borderId="1" xfId="0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/>
    </xf>
    <xf numFmtId="165" fontId="23" fillId="0" borderId="0" xfId="0" applyFont="1"/>
    <xf numFmtId="165" fontId="24" fillId="0" borderId="0" xfId="0" applyFont="1"/>
    <xf numFmtId="165" fontId="15" fillId="2" borderId="0" xfId="0" applyFont="1" applyFill="1" applyAlignment="1">
      <alignment vertical="center"/>
    </xf>
    <xf numFmtId="165" fontId="15" fillId="0" borderId="0" xfId="0" applyFont="1" applyAlignment="1">
      <alignment horizontal="right"/>
    </xf>
    <xf numFmtId="165" fontId="25" fillId="2" borderId="0" xfId="0" applyFont="1" applyFill="1"/>
    <xf numFmtId="167" fontId="19" fillId="2" borderId="0" xfId="0" applyNumberFormat="1" applyFont="1" applyFill="1"/>
    <xf numFmtId="165" fontId="19" fillId="2" borderId="0" xfId="0" applyFont="1" applyFill="1"/>
    <xf numFmtId="44" fontId="26" fillId="2" borderId="0" xfId="0" applyNumberFormat="1" applyFont="1" applyFill="1"/>
    <xf numFmtId="165" fontId="21" fillId="0" borderId="0" xfId="0" applyFont="1" applyAlignment="1">
      <alignment horizontal="center"/>
    </xf>
    <xf numFmtId="165" fontId="27" fillId="0" borderId="0" xfId="0" applyFont="1" applyAlignment="1">
      <alignment horizontal="center"/>
    </xf>
    <xf numFmtId="165" fontId="18" fillId="0" borderId="2" xfId="0" applyFont="1" applyBorder="1" applyAlignment="1">
      <alignment horizontal="left" vertical="center"/>
    </xf>
    <xf numFmtId="165" fontId="18" fillId="0" borderId="3" xfId="0" applyFont="1" applyBorder="1" applyAlignment="1">
      <alignment horizontal="left" vertical="center"/>
    </xf>
    <xf numFmtId="165" fontId="18" fillId="0" borderId="4" xfId="0" applyFont="1" applyBorder="1" applyAlignment="1">
      <alignment horizontal="left" vertical="center"/>
    </xf>
    <xf numFmtId="165" fontId="28" fillId="0" borderId="1" xfId="0" applyFont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165" fontId="18" fillId="0" borderId="1" xfId="0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165" fontId="29" fillId="0" borderId="0" xfId="0" applyFont="1" applyAlignment="1">
      <alignment horizontal="left" vertical="center" wrapText="1"/>
    </xf>
    <xf numFmtId="165" fontId="16" fillId="0" borderId="0" xfId="0" quotePrefix="1" applyFont="1" applyAlignment="1">
      <alignment vertical="center"/>
    </xf>
    <xf numFmtId="165" fontId="14" fillId="0" borderId="0" xfId="0" applyFont="1" applyAlignment="1">
      <alignment wrapText="1"/>
    </xf>
    <xf numFmtId="168" fontId="14" fillId="0" borderId="0" xfId="0" applyNumberFormat="1" applyFont="1" applyAlignment="1">
      <alignment horizontal="left"/>
    </xf>
    <xf numFmtId="165" fontId="14" fillId="0" borderId="0" xfId="0" quotePrefix="1" applyFont="1"/>
    <xf numFmtId="43" fontId="18" fillId="0" borderId="5" xfId="108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65" fontId="32" fillId="0" borderId="3" xfId="0" applyFont="1" applyBorder="1" applyAlignment="1">
      <alignment horizontal="left" vertical="center"/>
    </xf>
    <xf numFmtId="165" fontId="32" fillId="0" borderId="4" xfId="0" applyFont="1" applyBorder="1" applyAlignment="1">
      <alignment horizontal="left" vertical="center"/>
    </xf>
    <xf numFmtId="43" fontId="18" fillId="0" borderId="1" xfId="112" applyNumberFormat="1" applyFont="1" applyBorder="1" applyAlignment="1">
      <alignment horizontal="center" vertical="center"/>
    </xf>
    <xf numFmtId="165" fontId="18" fillId="0" borderId="3" xfId="0" applyFont="1" applyBorder="1" applyAlignment="1">
      <alignment horizontal="left" vertical="center" wrapText="1"/>
    </xf>
    <xf numFmtId="165" fontId="18" fillId="0" borderId="4" xfId="0" applyFont="1" applyBorder="1" applyAlignment="1">
      <alignment horizontal="left" vertical="center" wrapText="1"/>
    </xf>
    <xf numFmtId="1" fontId="18" fillId="0" borderId="6" xfId="0" applyNumberFormat="1" applyFont="1" applyBorder="1" applyAlignment="1">
      <alignment horizontal="center" vertical="center"/>
    </xf>
    <xf numFmtId="0" fontId="34" fillId="0" borderId="1" xfId="0" applyNumberFormat="1" applyFont="1" applyBorder="1" applyAlignment="1">
      <alignment horizontal="center" vertical="center"/>
    </xf>
    <xf numFmtId="165" fontId="35" fillId="0" borderId="2" xfId="0" applyFont="1" applyBorder="1" applyAlignment="1">
      <alignment horizontal="left" vertical="center"/>
    </xf>
    <xf numFmtId="165" fontId="29" fillId="0" borderId="0" xfId="0" quotePrefix="1" applyFont="1" applyAlignment="1">
      <alignment vertical="center"/>
    </xf>
    <xf numFmtId="166" fontId="14" fillId="3" borderId="1" xfId="0" applyNumberFormat="1" applyFont="1" applyFill="1" applyBorder="1" applyAlignment="1">
      <alignment horizontal="center" vertical="center"/>
    </xf>
    <xf numFmtId="165" fontId="14" fillId="3" borderId="1" xfId="0" applyFont="1" applyFill="1" applyBorder="1" applyAlignment="1">
      <alignment horizontal="center" vertical="center"/>
    </xf>
    <xf numFmtId="165" fontId="17" fillId="3" borderId="1" xfId="0" applyFont="1" applyFill="1" applyBorder="1" applyAlignment="1">
      <alignment horizontal="center" vertical="center" wrapText="1"/>
    </xf>
    <xf numFmtId="165" fontId="17" fillId="3" borderId="1" xfId="0" applyFont="1" applyFill="1" applyBorder="1" applyAlignment="1">
      <alignment horizontal="center" vertical="center"/>
    </xf>
    <xf numFmtId="44" fontId="20" fillId="0" borderId="0" xfId="112" applyFont="1" applyAlignment="1">
      <alignment horizontal="center" vertical="center"/>
    </xf>
    <xf numFmtId="43" fontId="36" fillId="0" borderId="1" xfId="0" applyNumberFormat="1" applyFont="1" applyBorder="1" applyAlignment="1">
      <alignment horizontal="center" vertical="center"/>
    </xf>
    <xf numFmtId="43" fontId="18" fillId="0" borderId="1" xfId="0" applyNumberFormat="1" applyFont="1" applyBorder="1" applyAlignment="1">
      <alignment horizontal="center" vertical="center"/>
    </xf>
    <xf numFmtId="165" fontId="38" fillId="0" borderId="2" xfId="0" applyFont="1" applyBorder="1" applyAlignment="1">
      <alignment horizontal="left" vertical="center"/>
    </xf>
    <xf numFmtId="165" fontId="2" fillId="0" borderId="2" xfId="0" applyFont="1" applyBorder="1" applyAlignment="1">
      <alignment horizontal="left" vertical="center"/>
    </xf>
    <xf numFmtId="0" fontId="39" fillId="0" borderId="1" xfId="0" applyNumberFormat="1" applyFont="1" applyBorder="1" applyAlignment="1">
      <alignment horizontal="center" vertical="center"/>
    </xf>
    <xf numFmtId="165" fontId="40" fillId="0" borderId="2" xfId="0" applyFont="1" applyBorder="1" applyAlignment="1">
      <alignment horizontal="left" vertical="center"/>
    </xf>
    <xf numFmtId="43" fontId="41" fillId="0" borderId="1" xfId="112" applyNumberFormat="1" applyFont="1" applyBorder="1" applyAlignment="1">
      <alignment horizontal="center" vertical="center"/>
    </xf>
    <xf numFmtId="165" fontId="34" fillId="0" borderId="2" xfId="0" applyFont="1" applyBorder="1" applyAlignment="1">
      <alignment horizontal="left" vertical="center"/>
    </xf>
    <xf numFmtId="165" fontId="39" fillId="0" borderId="2" xfId="0" applyFont="1" applyBorder="1" applyAlignment="1">
      <alignment horizontal="left" vertical="center"/>
    </xf>
    <xf numFmtId="165" fontId="28" fillId="0" borderId="3" xfId="0" applyFont="1" applyBorder="1" applyAlignment="1">
      <alignment horizontal="left" vertical="center"/>
    </xf>
    <xf numFmtId="165" fontId="28" fillId="0" borderId="4" xfId="0" applyFont="1" applyBorder="1" applyAlignment="1">
      <alignment horizontal="left" vertical="center"/>
    </xf>
    <xf numFmtId="165" fontId="39" fillId="0" borderId="3" xfId="0" applyFont="1" applyBorder="1" applyAlignment="1">
      <alignment horizontal="left" vertical="center"/>
    </xf>
    <xf numFmtId="165" fontId="39" fillId="0" borderId="4" xfId="0" applyFont="1" applyBorder="1" applyAlignment="1">
      <alignment horizontal="left" vertical="center"/>
    </xf>
    <xf numFmtId="3" fontId="14" fillId="0" borderId="0" xfId="0" applyNumberFormat="1" applyFont="1" applyAlignment="1">
      <alignment horizontal="right" vertical="center"/>
    </xf>
    <xf numFmtId="1" fontId="16" fillId="0" borderId="0" xfId="0" applyNumberFormat="1" applyFont="1" applyAlignment="1">
      <alignment horizontal="left"/>
    </xf>
    <xf numFmtId="165" fontId="17" fillId="3" borderId="1" xfId="0" applyFont="1" applyFill="1" applyBorder="1" applyAlignment="1">
      <alignment horizontal="center" vertical="center" wrapText="1"/>
    </xf>
    <xf numFmtId="165" fontId="17" fillId="3" borderId="1" xfId="0" applyFont="1" applyFill="1" applyBorder="1" applyAlignment="1">
      <alignment horizontal="center" vertical="center"/>
    </xf>
    <xf numFmtId="44" fontId="30" fillId="2" borderId="0" xfId="0" applyNumberFormat="1" applyFont="1" applyFill="1" applyAlignment="1">
      <alignment horizontal="right" vertical="center"/>
    </xf>
    <xf numFmtId="165" fontId="39" fillId="0" borderId="2" xfId="0" applyFont="1" applyBorder="1" applyAlignment="1">
      <alignment horizontal="left" vertical="center"/>
    </xf>
    <xf numFmtId="165" fontId="39" fillId="0" borderId="3" xfId="0" applyFont="1" applyBorder="1" applyAlignment="1">
      <alignment horizontal="left" vertical="center"/>
    </xf>
    <xf numFmtId="165" fontId="39" fillId="0" borderId="4" xfId="0" applyFont="1" applyBorder="1" applyAlignment="1">
      <alignment horizontal="left" vertical="center"/>
    </xf>
    <xf numFmtId="165" fontId="18" fillId="0" borderId="1" xfId="0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 wrapText="1"/>
    </xf>
    <xf numFmtId="165" fontId="14" fillId="3" borderId="1" xfId="0" applyFont="1" applyFill="1" applyBorder="1" applyAlignment="1">
      <alignment horizontal="center" vertical="center"/>
    </xf>
    <xf numFmtId="165" fontId="37" fillId="0" borderId="0" xfId="2" applyFont="1" applyAlignment="1"/>
    <xf numFmtId="165" fontId="7" fillId="0" borderId="0" xfId="0" applyFont="1" applyAlignment="1"/>
    <xf numFmtId="165" fontId="18" fillId="0" borderId="0" xfId="0" applyFont="1" applyAlignment="1">
      <alignment vertical="center" wrapText="1"/>
    </xf>
    <xf numFmtId="1" fontId="18" fillId="0" borderId="0" xfId="0" applyNumberFormat="1" applyFont="1" applyAlignment="1"/>
    <xf numFmtId="165" fontId="13" fillId="0" borderId="0" xfId="0" applyFont="1" applyAlignment="1">
      <alignment horizontal="center"/>
    </xf>
  </cellXfs>
  <cellStyles count="113">
    <cellStyle name="Comma 2" xfId="3" xr:uid="{00000000-0005-0000-0000-000001000000}"/>
    <cellStyle name="Comma 2 2" xfId="110" xr:uid="{E6FB5BAE-FA0D-4474-8BCB-EA5D3F992134}"/>
    <cellStyle name="Comma 3" xfId="6" xr:uid="{00000000-0005-0000-0000-000002000000}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Hyperlink" xfId="2" builtinId="8"/>
    <cellStyle name="Hyperlink 2" xfId="5" xr:uid="{00000000-0005-0000-0000-000064000000}"/>
    <cellStyle name="Normal 12" xfId="104" xr:uid="{00000000-0005-0000-0000-000066000000}"/>
    <cellStyle name="Normal 12 2" xfId="107" xr:uid="{00000000-0005-0000-0000-000067000000}"/>
    <cellStyle name="Normal 2" xfId="1" xr:uid="{00000000-0005-0000-0000-000068000000}"/>
    <cellStyle name="Normal 2 2" xfId="103" xr:uid="{00000000-0005-0000-0000-000069000000}"/>
    <cellStyle name="Normal 2 2 2" xfId="105" xr:uid="{00000000-0005-0000-0000-00006A000000}"/>
    <cellStyle name="Normal 3" xfId="4" xr:uid="{00000000-0005-0000-0000-00006B000000}"/>
    <cellStyle name="Normal 8" xfId="106" xr:uid="{00000000-0005-0000-0000-00006C000000}"/>
    <cellStyle name="Normal_TRCC_Feeder schedule" xfId="111" xr:uid="{B052E4D8-9E8D-4046-BC27-DC69872303D1}"/>
    <cellStyle name="จุลภาค" xfId="108" builtinId="3"/>
    <cellStyle name="ปกติ" xfId="0" builtinId="0"/>
    <cellStyle name="สกุลเงิน" xfId="112" builtinId="4"/>
    <cellStyle name="표준_Sheet1_1" xfId="109" xr:uid="{00000000-0005-0000-0000-00006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1.xml"/><Relationship Id="rId5" Type="http://schemas.openxmlformats.org/officeDocument/2006/relationships/calcChain" Target="calcChain.xml"/><Relationship Id="rId10" Type="http://schemas.microsoft.com/office/2017/10/relationships/person" Target="persons/person0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2052566</xdr:colOff>
      <xdr:row>0</xdr:row>
      <xdr:rowOff>15871</xdr:rowOff>
    </xdr:from>
    <xdr:to>
      <xdr:col>7</xdr:col>
      <xdr:colOff>471701</xdr:colOff>
      <xdr:row>1</xdr:row>
      <xdr:rowOff>136520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8815917" y="15871"/>
          <a:ext cx="2995083" cy="1025524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US" sz="2400" b="1" i="0" u="none" strike="noStrike" baseline="0">
              <a:solidFill>
                <a:srgbClr val="3B5E91"/>
              </a:solidFill>
              <a:latin typeface="Trebuchet MS"/>
            </a:rPr>
            <a:t>QUOTATION</a:t>
          </a:r>
        </a:p>
        <a:p>
          <a:pPr algn="r" rtl="0">
            <a:defRPr sz="1000"/>
          </a:pPr>
          <a:r>
            <a:rPr lang="th-TH" sz="1800" b="1" i="0" u="none" strike="noStrike" baseline="0">
              <a:solidFill>
                <a:srgbClr val="3B5E91"/>
              </a:solidFill>
              <a:latin typeface="Trebuchet MS"/>
            </a:rPr>
            <a:t>ใบเสนอราคา</a:t>
          </a:r>
          <a:endParaRPr lang="en-US" sz="1800" b="1" i="0" u="none" strike="noStrike" baseline="0">
            <a:solidFill>
              <a:srgbClr val="3B5E91"/>
            </a:solidFill>
            <a:latin typeface="Trebuchet MS"/>
          </a:endParaRPr>
        </a:p>
      </xdr:txBody>
    </xdr:sp>
    <xdr:clientData/>
  </xdr:twoCellAnchor>
  <xdr:twoCellAnchor>
    <xdr:from>
      <xdr:col>0</xdr:col>
      <xdr:colOff>142874</xdr:colOff>
      <xdr:row>53</xdr:row>
      <xdr:rowOff>12764</xdr:rowOff>
    </xdr:from>
    <xdr:to>
      <xdr:col>4</xdr:col>
      <xdr:colOff>2367949</xdr:colOff>
      <xdr:row>69</xdr:row>
      <xdr:rowOff>73354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2874" y="15548367"/>
          <a:ext cx="8980161" cy="3148004"/>
          <a:chOff x="152400" y="10250543"/>
          <a:chExt cx="7652668" cy="2826224"/>
        </a:xfrm>
      </xdr:grpSpPr>
      <xdr:sp macro="" textlink="">
        <xdr:nvSpPr>
          <xdr:cNvPr id="4" name="Text Box 1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2400" y="10517715"/>
            <a:ext cx="3175000" cy="2559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>
                    <a:alpha val="0"/>
                  </a:srgbClr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______________________________________         </a:t>
            </a: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To confirm this quotation, sign here and return:  </a:t>
            </a:r>
          </a:p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 </a:t>
            </a:r>
          </a:p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 </a:t>
            </a:r>
          </a:p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             Date   ......./......../...........</a:t>
            </a: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</xdr:txBody>
      </xdr:sp>
      <xdr:sp macro="" textlink="">
        <xdr:nvSpPr>
          <xdr:cNvPr id="5" name="Text Box 18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98739" y="10250543"/>
            <a:ext cx="4106329" cy="25477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>
                    <a:alpha val="0"/>
                  </a:srgbClr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ctr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                                                                                                                         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</a:t>
            </a:r>
          </a:p>
          <a:p>
            <a:pPr algn="ctr" rtl="0">
              <a:defRPr sz="1000"/>
            </a:pPr>
            <a:br>
              <a:rPr lang="en-US" sz="10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</a:br>
            <a:r>
              <a:rPr lang="en-US" sz="1200" b="1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Mr. Chottanin A. (CA) </a:t>
            </a:r>
          </a:p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TRANSMISSION PRODUCT MANAGER</a:t>
            </a:r>
            <a:br>
              <a:rPr lang="en-US" sz="1200" b="1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</a:br>
            <a:r>
              <a:rPr lang="en-US" sz="1200" b="1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081-921-6225</a:t>
            </a: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</xdr:txBody>
      </xdr:sp>
    </xdr:grpSp>
    <xdr:clientData/>
  </xdr:twoCellAnchor>
  <xdr:twoCellAnchor editAs="oneCell">
    <xdr:from>
      <xdr:col>0</xdr:col>
      <xdr:colOff>50801</xdr:colOff>
      <xdr:row>0</xdr:row>
      <xdr:rowOff>0</xdr:rowOff>
    </xdr:from>
    <xdr:to>
      <xdr:col>1</xdr:col>
      <xdr:colOff>215899</xdr:colOff>
      <xdr:row>0</xdr:row>
      <xdr:rowOff>624903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0"/>
          <a:ext cx="974723" cy="624903"/>
        </a:xfrm>
        <a:prstGeom prst="rect">
          <a:avLst/>
        </a:prstGeom>
      </xdr:spPr>
    </xdr:pic>
    <xdr:clientData/>
  </xdr:twoCellAnchor>
  <xdr:twoCellAnchor>
    <xdr:from>
      <xdr:col>5</xdr:col>
      <xdr:colOff>615684</xdr:colOff>
      <xdr:row>53</xdr:row>
      <xdr:rowOff>103187</xdr:rowOff>
    </xdr:from>
    <xdr:to>
      <xdr:col>7</xdr:col>
      <xdr:colOff>1451768</xdr:colOff>
      <xdr:row>65</xdr:row>
      <xdr:rowOff>63500</xdr:rowOff>
    </xdr:to>
    <xdr:sp macro="" textlink="">
      <xdr:nvSpPr>
        <xdr:cNvPr id="7" name="Text Box 1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9100872" y="15382875"/>
          <a:ext cx="3272896" cy="2341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 rtl="0">
            <a:defRPr sz="1000"/>
          </a:pPr>
          <a:r>
            <a:rPr lang="en-US" sz="900">
              <a:effectLst/>
            </a:rPr>
            <a:t> </a:t>
          </a: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ctr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                                                                                                                         </a:t>
          </a: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                                                                                                                 </a:t>
          </a: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                                                                                                                             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Approve By</a:t>
          </a:r>
          <a:r>
            <a:rPr lang="en-US" sz="9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                                                                                                                                       </a:t>
          </a:r>
          <a:r>
            <a:rPr lang="en-US" sz="1200" b="1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Mr.Traiwit Luengthong </a:t>
          </a:r>
          <a:r>
            <a:rPr lang="en-US" sz="120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                                                                                                                                               </a:t>
          </a:r>
          <a:r>
            <a:rPr lang="en-US" sz="1200" b="1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SALE MANAGER</a:t>
          </a: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151084</xdr:colOff>
      <xdr:row>7</xdr:row>
      <xdr:rowOff>111125</xdr:rowOff>
    </xdr:from>
    <xdr:to>
      <xdr:col>9</xdr:col>
      <xdr:colOff>20117</xdr:colOff>
      <xdr:row>14</xdr:row>
      <xdr:rowOff>79375</xdr:rowOff>
    </xdr:to>
    <xdr:grpSp>
      <xdr:nvGrpSpPr>
        <xdr:cNvPr id="9" name="กลุ่ม 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9380481" y="2114659"/>
          <a:ext cx="4106015" cy="1271095"/>
          <a:chOff x="8028215" y="2589250"/>
          <a:chExt cx="3625038" cy="824781"/>
        </a:xfrm>
      </xdr:grpSpPr>
      <xdr:sp macro="" textlink="">
        <xdr:nvSpPr>
          <xdr:cNvPr id="10" name="Text Box 1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48694" y="2885454"/>
            <a:ext cx="2304559" cy="3333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>
                    <a:alpha val="0"/>
                  </a:srgbClr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300" b="0" i="0" u="none" strike="noStrike" baseline="0">
                <a:solidFill>
                  <a:srgbClr val="000000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LINE ID: @synergy.as                                                                                                                                                                                                                                                            </a:t>
            </a:r>
          </a:p>
          <a:p>
            <a:pPr algn="l" rtl="0">
              <a:defRPr sz="1000"/>
            </a:pPr>
            <a:endParaRPr lang="en-US" sz="105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  <a:p>
            <a:pPr algn="l" rtl="0">
              <a:defRPr sz="1000"/>
            </a:pPr>
            <a:endParaRPr lang="en-US" sz="1050" b="0" i="0" u="none" strike="noStrike" baseline="0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</xdr:txBody>
      </xdr:sp>
      <xdr:pic>
        <xdr:nvPicPr>
          <xdr:cNvPr id="11" name="Picture 11" descr="_fHqG-tj6z.pn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8028215" y="2589250"/>
            <a:ext cx="1108029" cy="824781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103190</xdr:colOff>
      <xdr:row>54</xdr:row>
      <xdr:rowOff>174432</xdr:rowOff>
    </xdr:from>
    <xdr:to>
      <xdr:col>7</xdr:col>
      <xdr:colOff>373064</xdr:colOff>
      <xdr:row>58</xdr:row>
      <xdr:rowOff>150495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80080D62-479D-43DA-9DEE-47D3B4F60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grayscl/>
        </a:blip>
        <a:srcRect/>
        <a:stretch>
          <a:fillRect/>
        </a:stretch>
      </xdr:blipFill>
      <xdr:spPr bwMode="auto">
        <a:xfrm>
          <a:off x="10697107" y="16081182"/>
          <a:ext cx="1402291" cy="801563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showGridLines="0" tabSelected="1" view="pageBreakPreview" zoomScale="58" zoomScaleNormal="55" workbookViewId="0">
      <selection activeCell="E10" sqref="E10"/>
    </sheetView>
  </sheetViews>
  <sheetFormatPr defaultColWidth="8.81640625" defaultRowHeight="13.5" x14ac:dyDescent="0.35"/>
  <cols>
    <col min="1" max="1" width="12.1796875" style="3" customWidth="1"/>
    <col min="2" max="2" width="23.08984375" style="3" customWidth="1"/>
    <col min="3" max="3" width="11.81640625" style="3" customWidth="1"/>
    <col min="4" max="4" width="49.7265625" style="3" customWidth="1"/>
    <col min="5" max="5" width="35.36328125" style="3" customWidth="1"/>
    <col min="6" max="6" width="13.90625" style="3" customWidth="1"/>
    <col min="7" max="7" width="16.1796875" style="3" customWidth="1"/>
    <col min="8" max="8" width="21.81640625" style="3" customWidth="1"/>
    <col min="9" max="9" width="8.81640625" style="3"/>
    <col min="10" max="10" width="21.81640625" style="3" bestFit="1" customWidth="1"/>
    <col min="11" max="16384" width="8.81640625" style="3"/>
  </cols>
  <sheetData>
    <row r="1" spans="1:13" ht="71.150000000000006" customHeight="1" x14ac:dyDescent="0.55000000000000004">
      <c r="A1" s="1" t="s">
        <v>14</v>
      </c>
      <c r="B1" s="2"/>
      <c r="C1" s="2"/>
      <c r="D1" s="2"/>
      <c r="E1" s="2"/>
      <c r="F1" s="2"/>
      <c r="G1" s="2"/>
    </row>
    <row r="2" spans="1:13" s="6" customFormat="1" ht="15" customHeight="1" x14ac:dyDescent="0.35">
      <c r="A2" s="4" t="s">
        <v>20</v>
      </c>
      <c r="B2" s="5"/>
      <c r="C2" s="4"/>
      <c r="D2" s="4"/>
      <c r="E2" s="4"/>
      <c r="F2" s="4"/>
      <c r="G2" s="4"/>
    </row>
    <row r="3" spans="1:13" s="6" customFormat="1" ht="15" customHeight="1" x14ac:dyDescent="0.35">
      <c r="A3" s="4" t="s">
        <v>15</v>
      </c>
      <c r="B3" s="5"/>
      <c r="C3" s="4"/>
      <c r="D3" s="4"/>
      <c r="E3" s="7"/>
      <c r="F3" s="8"/>
      <c r="G3" s="8" t="s">
        <v>9</v>
      </c>
      <c r="H3" s="9" t="s">
        <v>35</v>
      </c>
    </row>
    <row r="4" spans="1:13" s="6" customFormat="1" ht="15" customHeight="1" x14ac:dyDescent="0.35">
      <c r="A4" s="4" t="s">
        <v>16</v>
      </c>
      <c r="B4" s="5"/>
      <c r="C4" s="4"/>
      <c r="D4" s="4"/>
      <c r="E4" s="7"/>
      <c r="F4" s="8"/>
      <c r="G4" s="8" t="s">
        <v>10</v>
      </c>
      <c r="H4" s="54">
        <f ca="1">TODAY()</f>
        <v>46083</v>
      </c>
    </row>
    <row r="5" spans="1:13" s="6" customFormat="1" ht="15" customHeight="1" x14ac:dyDescent="0.35">
      <c r="A5" s="4" t="s">
        <v>19</v>
      </c>
      <c r="B5" s="4"/>
      <c r="C5" s="4"/>
      <c r="D5" s="4"/>
      <c r="E5" s="7"/>
      <c r="F5" s="8"/>
      <c r="G5" s="8" t="s">
        <v>11</v>
      </c>
      <c r="H5" s="55" t="s">
        <v>23</v>
      </c>
    </row>
    <row r="6" spans="1:13" s="6" customFormat="1" ht="15" customHeight="1" x14ac:dyDescent="0.35">
      <c r="A6" s="4" t="s">
        <v>18</v>
      </c>
      <c r="B6" s="4"/>
      <c r="C6" s="4"/>
      <c r="D6" s="4"/>
      <c r="E6" s="7"/>
      <c r="F6" s="8"/>
      <c r="G6" s="8" t="s">
        <v>12</v>
      </c>
      <c r="H6" s="10" t="s">
        <v>21</v>
      </c>
    </row>
    <row r="7" spans="1:13" s="6" customFormat="1" ht="14.15" customHeight="1" x14ac:dyDescent="0.35">
      <c r="A7" s="4"/>
      <c r="B7" s="4"/>
      <c r="C7" s="4"/>
      <c r="D7" s="4"/>
      <c r="E7" s="4"/>
      <c r="F7" s="8"/>
      <c r="G7" s="5"/>
    </row>
    <row r="8" spans="1:13" s="6" customFormat="1" ht="15" customHeight="1" x14ac:dyDescent="0.35">
      <c r="A8" s="53" t="s">
        <v>27</v>
      </c>
      <c r="B8" s="11"/>
      <c r="C8" s="10"/>
      <c r="D8" s="10"/>
      <c r="E8" s="10"/>
      <c r="F8" s="5"/>
      <c r="G8" s="5"/>
    </row>
    <row r="9" spans="1:13" s="6" customFormat="1" ht="15" customHeight="1" x14ac:dyDescent="0.35">
      <c r="A9" s="4"/>
      <c r="B9" s="50"/>
      <c r="C9" s="50"/>
      <c r="D9" s="50"/>
      <c r="E9" s="12"/>
      <c r="F9" s="5"/>
      <c r="G9" s="5"/>
    </row>
    <row r="10" spans="1:13" s="6" customFormat="1" ht="15" customHeight="1" x14ac:dyDescent="0.35">
      <c r="A10" s="4"/>
      <c r="B10" s="98"/>
      <c r="C10" s="98"/>
      <c r="D10" s="98"/>
      <c r="E10" s="98"/>
      <c r="F10" s="5"/>
      <c r="G10" s="5"/>
      <c r="M10"/>
    </row>
    <row r="11" spans="1:13" s="6" customFormat="1" ht="15" customHeight="1" x14ac:dyDescent="0.35">
      <c r="A11" s="4"/>
      <c r="B11" s="99"/>
      <c r="C11" s="99"/>
      <c r="D11" s="99"/>
      <c r="E11" s="51"/>
      <c r="F11" s="5"/>
      <c r="G11" s="5"/>
    </row>
    <row r="12" spans="1:13" s="6" customFormat="1" ht="15" customHeight="1" x14ac:dyDescent="0.35">
      <c r="A12" s="4"/>
      <c r="B12" s="86"/>
      <c r="C12" s="86"/>
      <c r="D12" s="86"/>
      <c r="E12" s="10"/>
      <c r="F12" s="5"/>
      <c r="G12" s="5"/>
    </row>
    <row r="13" spans="1:13" s="6" customFormat="1" ht="15" customHeight="1" x14ac:dyDescent="0.35">
      <c r="A13" s="4" t="s">
        <v>26</v>
      </c>
      <c r="B13" s="96"/>
      <c r="C13" s="97"/>
      <c r="D13" s="97"/>
      <c r="E13" s="10"/>
      <c r="F13" s="5"/>
      <c r="G13" s="5"/>
    </row>
    <row r="14" spans="1:13" s="6" customFormat="1" ht="15" customHeight="1" x14ac:dyDescent="0.35">
      <c r="A14" s="4" t="s">
        <v>24</v>
      </c>
      <c r="B14" s="66"/>
      <c r="C14" s="10"/>
      <c r="D14" s="4"/>
      <c r="E14" s="4"/>
      <c r="F14" s="5"/>
      <c r="G14" s="4"/>
    </row>
    <row r="15" spans="1:13" s="15" customFormat="1" ht="15" customHeight="1" x14ac:dyDescent="0.35">
      <c r="A15" s="4" t="s">
        <v>25</v>
      </c>
      <c r="B15" s="52"/>
      <c r="C15" s="12"/>
      <c r="D15" s="13"/>
      <c r="E15" s="13"/>
      <c r="F15" s="14"/>
      <c r="G15" s="13"/>
      <c r="H15" s="6"/>
    </row>
    <row r="16" spans="1:13" s="16" customFormat="1" ht="33.75" customHeight="1" x14ac:dyDescent="0.35">
      <c r="A16" s="69" t="s">
        <v>7</v>
      </c>
      <c r="B16" s="69" t="s">
        <v>6</v>
      </c>
      <c r="C16" s="69" t="s">
        <v>13</v>
      </c>
      <c r="D16" s="87" t="s">
        <v>1</v>
      </c>
      <c r="E16" s="87"/>
      <c r="F16" s="87" t="s">
        <v>2</v>
      </c>
      <c r="G16" s="88"/>
      <c r="H16" s="70" t="s">
        <v>3</v>
      </c>
    </row>
    <row r="17" spans="1:10" s="17" customFormat="1" ht="22.5" customHeight="1" x14ac:dyDescent="0.35">
      <c r="A17" s="48" t="s">
        <v>36</v>
      </c>
      <c r="B17" s="64" t="s">
        <v>33</v>
      </c>
      <c r="C17" s="48" t="s">
        <v>30</v>
      </c>
      <c r="D17" s="93" t="s">
        <v>37</v>
      </c>
      <c r="E17" s="93"/>
      <c r="F17" s="94" t="s">
        <v>34</v>
      </c>
      <c r="G17" s="94"/>
      <c r="H17" s="24" t="s">
        <v>32</v>
      </c>
    </row>
    <row r="18" spans="1:10" s="17" customFormat="1" ht="16" customHeight="1" x14ac:dyDescent="0.35">
      <c r="A18" s="18"/>
      <c r="B18" s="19"/>
      <c r="C18" s="19"/>
      <c r="D18" s="19"/>
      <c r="E18" s="19"/>
      <c r="F18" s="20"/>
      <c r="G18" s="21"/>
      <c r="H18" s="22"/>
    </row>
    <row r="19" spans="1:10" ht="25.5" customHeight="1" x14ac:dyDescent="0.35">
      <c r="A19" s="67" t="s">
        <v>8</v>
      </c>
      <c r="B19" s="67" t="s">
        <v>31</v>
      </c>
      <c r="C19" s="95" t="s">
        <v>0</v>
      </c>
      <c r="D19" s="95"/>
      <c r="E19" s="95"/>
      <c r="F19" s="68" t="s">
        <v>4</v>
      </c>
      <c r="G19" s="68" t="s">
        <v>22</v>
      </c>
      <c r="H19" s="68" t="s">
        <v>5</v>
      </c>
    </row>
    <row r="20" spans="1:10" s="27" customFormat="1" ht="25" customHeight="1" x14ac:dyDescent="0.25">
      <c r="A20" s="63">
        <v>1</v>
      </c>
      <c r="B20" s="24"/>
      <c r="C20" s="43"/>
      <c r="D20" s="61"/>
      <c r="E20" s="62"/>
      <c r="F20" s="25">
        <v>1</v>
      </c>
      <c r="G20" s="60"/>
      <c r="H20" s="60">
        <f>G20*F20</f>
        <v>0</v>
      </c>
      <c r="I20" s="26"/>
    </row>
    <row r="21" spans="1:10" s="27" customFormat="1" ht="25" customHeight="1" x14ac:dyDescent="0.25">
      <c r="A21" s="24"/>
      <c r="B21" s="24"/>
      <c r="C21" s="43"/>
      <c r="D21" s="44"/>
      <c r="E21" s="45"/>
      <c r="F21" s="25"/>
      <c r="G21" s="73"/>
      <c r="H21" s="60"/>
      <c r="I21" s="26"/>
    </row>
    <row r="22" spans="1:10" s="27" customFormat="1" ht="25" customHeight="1" x14ac:dyDescent="0.25">
      <c r="A22" s="24"/>
      <c r="B22" s="24"/>
      <c r="C22" s="43"/>
      <c r="D22" s="44"/>
      <c r="E22" s="45"/>
      <c r="F22" s="25"/>
      <c r="G22" s="60"/>
      <c r="H22" s="60"/>
      <c r="I22" s="26"/>
    </row>
    <row r="23" spans="1:10" s="27" customFormat="1" ht="25" customHeight="1" x14ac:dyDescent="0.25">
      <c r="A23" s="63"/>
      <c r="B23" s="24"/>
      <c r="C23" s="79"/>
      <c r="D23" s="61"/>
      <c r="E23" s="62"/>
      <c r="F23" s="25"/>
      <c r="G23" s="60"/>
      <c r="H23" s="60"/>
      <c r="I23" s="26"/>
    </row>
    <row r="24" spans="1:10" ht="25" customHeight="1" x14ac:dyDescent="0.35">
      <c r="A24" s="24"/>
      <c r="B24" s="24"/>
      <c r="C24" s="43"/>
      <c r="D24" s="44"/>
      <c r="E24" s="45"/>
      <c r="F24" s="25"/>
      <c r="G24" s="73"/>
      <c r="H24" s="78"/>
      <c r="J24" s="28"/>
    </row>
    <row r="25" spans="1:10" ht="25" customHeight="1" x14ac:dyDescent="0.35">
      <c r="A25" s="63"/>
      <c r="B25" s="24"/>
      <c r="C25" s="75"/>
      <c r="D25" s="61"/>
      <c r="E25" s="62"/>
      <c r="F25" s="25"/>
      <c r="G25" s="60"/>
      <c r="H25" s="60"/>
      <c r="J25" s="28"/>
    </row>
    <row r="26" spans="1:10" ht="25" customHeight="1" x14ac:dyDescent="0.35">
      <c r="A26" s="24"/>
      <c r="B26" s="24"/>
      <c r="C26" s="43"/>
      <c r="D26" s="44"/>
      <c r="E26" s="45"/>
      <c r="F26" s="25"/>
      <c r="G26" s="72"/>
      <c r="H26" s="60"/>
      <c r="J26" s="71"/>
    </row>
    <row r="27" spans="1:10" ht="25" customHeight="1" x14ac:dyDescent="0.35">
      <c r="A27" s="24"/>
      <c r="B27" s="24"/>
      <c r="C27" s="79"/>
      <c r="D27" s="44"/>
      <c r="E27" s="45"/>
      <c r="F27" s="25"/>
      <c r="G27" s="72"/>
      <c r="H27" s="60"/>
      <c r="J27" s="71"/>
    </row>
    <row r="28" spans="1:10" ht="25" customHeight="1" x14ac:dyDescent="0.35">
      <c r="A28" s="24"/>
      <c r="B28" s="24"/>
      <c r="C28" s="79"/>
      <c r="D28" s="44"/>
      <c r="E28" s="45"/>
      <c r="F28" s="25"/>
      <c r="G28" s="72"/>
      <c r="H28" s="60"/>
      <c r="J28" s="71"/>
    </row>
    <row r="29" spans="1:10" ht="25" customHeight="1" x14ac:dyDescent="0.35">
      <c r="A29" s="24"/>
      <c r="B29" s="24"/>
      <c r="C29" s="79"/>
      <c r="D29" s="44"/>
      <c r="E29" s="45"/>
      <c r="F29" s="25"/>
      <c r="G29" s="60"/>
      <c r="H29" s="60"/>
      <c r="J29" s="71"/>
    </row>
    <row r="30" spans="1:10" ht="25" customHeight="1" x14ac:dyDescent="0.35">
      <c r="A30" s="63"/>
      <c r="B30" s="24"/>
      <c r="C30" s="43"/>
      <c r="D30" s="61"/>
      <c r="E30" s="62"/>
      <c r="F30" s="25"/>
      <c r="G30" s="60"/>
      <c r="H30" s="60"/>
      <c r="J30" s="71"/>
    </row>
    <row r="31" spans="1:10" ht="25" customHeight="1" x14ac:dyDescent="0.35">
      <c r="A31" s="24"/>
      <c r="B31" s="24"/>
      <c r="C31" s="43"/>
      <c r="D31" s="44"/>
      <c r="E31" s="45"/>
      <c r="F31" s="25"/>
      <c r="G31" s="73"/>
      <c r="H31" s="60"/>
      <c r="J31" s="71"/>
    </row>
    <row r="32" spans="1:10" ht="25" customHeight="1" x14ac:dyDescent="0.35">
      <c r="A32" s="63"/>
      <c r="B32" s="24"/>
      <c r="C32" s="75"/>
      <c r="D32" s="61"/>
      <c r="E32" s="62"/>
      <c r="F32" s="25"/>
      <c r="G32" s="60"/>
      <c r="H32" s="60"/>
      <c r="J32" s="71"/>
    </row>
    <row r="33" spans="1:10" ht="25" customHeight="1" x14ac:dyDescent="0.35">
      <c r="A33" s="24"/>
      <c r="B33" s="24"/>
      <c r="C33" s="43"/>
      <c r="D33" s="44"/>
      <c r="E33" s="45"/>
      <c r="F33" s="25"/>
      <c r="G33" s="72"/>
      <c r="H33" s="60"/>
      <c r="J33" s="71"/>
    </row>
    <row r="34" spans="1:10" ht="25" customHeight="1" x14ac:dyDescent="0.35">
      <c r="A34" s="24"/>
      <c r="B34" s="24"/>
      <c r="C34" s="74"/>
      <c r="D34" s="44"/>
      <c r="E34" s="45"/>
      <c r="F34" s="25"/>
      <c r="G34" s="72"/>
      <c r="H34" s="60"/>
      <c r="J34" s="71"/>
    </row>
    <row r="35" spans="1:10" ht="25" customHeight="1" x14ac:dyDescent="0.35">
      <c r="A35" s="24"/>
      <c r="B35" s="24"/>
      <c r="C35" s="43"/>
      <c r="D35" s="44"/>
      <c r="E35" s="45"/>
      <c r="F35" s="25"/>
      <c r="G35" s="72"/>
      <c r="H35" s="60"/>
      <c r="J35" s="71"/>
    </row>
    <row r="36" spans="1:10" ht="25" customHeight="1" x14ac:dyDescent="0.35">
      <c r="A36" s="24"/>
      <c r="B36" s="24"/>
      <c r="C36" s="74"/>
      <c r="D36" s="44"/>
      <c r="E36" s="45"/>
      <c r="F36" s="25"/>
      <c r="G36" s="72"/>
      <c r="H36" s="60"/>
      <c r="J36" s="71"/>
    </row>
    <row r="37" spans="1:10" ht="25" customHeight="1" x14ac:dyDescent="0.35">
      <c r="A37" s="24"/>
      <c r="B37" s="24"/>
      <c r="C37" s="43"/>
      <c r="D37" s="44"/>
      <c r="E37" s="45"/>
      <c r="F37" s="25"/>
      <c r="G37" s="72"/>
      <c r="H37" s="60"/>
      <c r="J37" s="71"/>
    </row>
    <row r="38" spans="1:10" ht="25" customHeight="1" x14ac:dyDescent="0.35">
      <c r="A38" s="24"/>
      <c r="B38" s="24"/>
      <c r="C38" s="43"/>
      <c r="D38" s="44"/>
      <c r="E38" s="45"/>
      <c r="F38" s="25"/>
      <c r="G38" s="60"/>
      <c r="H38" s="60"/>
      <c r="J38" s="28"/>
    </row>
    <row r="39" spans="1:10" ht="25" customHeight="1" x14ac:dyDescent="0.35">
      <c r="A39" s="63"/>
      <c r="B39" s="24"/>
      <c r="C39" s="43"/>
      <c r="D39"/>
      <c r="E39"/>
      <c r="F39" s="25"/>
      <c r="G39" s="60"/>
      <c r="H39" s="60"/>
      <c r="J39" s="28"/>
    </row>
    <row r="40" spans="1:10" ht="25" customHeight="1" x14ac:dyDescent="0.35">
      <c r="A40" s="24"/>
      <c r="B40" s="24"/>
      <c r="C40" s="43"/>
      <c r="D40" s="44"/>
      <c r="E40" s="45"/>
      <c r="F40" s="25"/>
      <c r="G40" s="73"/>
      <c r="H40" s="60"/>
      <c r="J40" s="28"/>
    </row>
    <row r="41" spans="1:10" ht="25" customHeight="1" x14ac:dyDescent="0.35">
      <c r="A41" s="63"/>
      <c r="B41" s="24"/>
      <c r="C41" s="75"/>
      <c r="D41" s="61"/>
      <c r="E41" s="62"/>
      <c r="F41" s="25"/>
      <c r="G41" s="60"/>
      <c r="H41" s="60"/>
      <c r="J41" s="28"/>
    </row>
    <row r="42" spans="1:10" ht="25" customHeight="1" x14ac:dyDescent="0.35">
      <c r="A42" s="24"/>
      <c r="B42" s="24"/>
      <c r="C42" s="43"/>
      <c r="D42" s="44"/>
      <c r="E42" s="45"/>
      <c r="F42" s="25"/>
      <c r="G42" s="72"/>
      <c r="H42" s="60"/>
      <c r="J42" s="28"/>
    </row>
    <row r="43" spans="1:10" ht="25" customHeight="1" x14ac:dyDescent="0.35">
      <c r="A43" s="24"/>
      <c r="B43" s="24"/>
      <c r="C43" s="75"/>
      <c r="D43" s="61"/>
      <c r="E43" s="62"/>
      <c r="F43" s="25"/>
      <c r="G43" s="72"/>
      <c r="H43" s="60"/>
      <c r="J43" s="28"/>
    </row>
    <row r="44" spans="1:10" ht="25" customHeight="1" x14ac:dyDescent="0.35">
      <c r="A44" s="63"/>
      <c r="B44" s="24"/>
      <c r="C44" s="43"/>
      <c r="D44" s="44"/>
      <c r="E44" s="45"/>
      <c r="F44" s="25"/>
      <c r="G44" s="60"/>
      <c r="H44" s="60"/>
      <c r="J44" s="28"/>
    </row>
    <row r="45" spans="1:10" ht="25" customHeight="1" x14ac:dyDescent="0.35">
      <c r="A45" s="24"/>
      <c r="B45" s="47"/>
      <c r="C45" s="43"/>
      <c r="D45" s="44"/>
      <c r="E45" s="45"/>
      <c r="F45" s="25"/>
      <c r="G45" s="24"/>
      <c r="H45" s="25"/>
      <c r="J45" s="28"/>
    </row>
    <row r="46" spans="1:10" ht="25" customHeight="1" x14ac:dyDescent="0.35">
      <c r="A46" s="24"/>
      <c r="B46" s="76"/>
      <c r="C46" s="77"/>
      <c r="D46" s="58"/>
      <c r="E46" s="59"/>
      <c r="F46" s="25"/>
      <c r="G46" s="24"/>
      <c r="H46" s="25"/>
      <c r="J46" s="28"/>
    </row>
    <row r="47" spans="1:10" ht="25" customHeight="1" x14ac:dyDescent="0.35">
      <c r="A47" s="24"/>
      <c r="B47" s="76"/>
      <c r="C47" s="65"/>
      <c r="D47" s="58"/>
      <c r="E47" s="59"/>
      <c r="F47" s="25"/>
      <c r="G47" s="24"/>
      <c r="H47" s="25"/>
      <c r="J47" s="28"/>
    </row>
    <row r="48" spans="1:10" ht="25" customHeight="1" x14ac:dyDescent="0.35">
      <c r="A48" s="24"/>
      <c r="B48" s="76"/>
      <c r="C48" s="80"/>
      <c r="D48" s="81"/>
      <c r="E48" s="82"/>
      <c r="F48" s="25"/>
      <c r="G48" s="24"/>
      <c r="H48" s="25"/>
      <c r="J48" s="28"/>
    </row>
    <row r="49" spans="1:8" s="29" customFormat="1" ht="25" customHeight="1" x14ac:dyDescent="0.35">
      <c r="A49" s="24"/>
      <c r="B49" s="46"/>
      <c r="C49" s="80"/>
      <c r="D49" s="83"/>
      <c r="E49" s="84"/>
      <c r="F49" s="25"/>
      <c r="G49" s="49"/>
      <c r="H49" s="25"/>
    </row>
    <row r="50" spans="1:8" s="33" customFormat="1" ht="25" customHeight="1" x14ac:dyDescent="0.35">
      <c r="A50" s="23"/>
      <c r="B50" s="30"/>
      <c r="C50" s="90"/>
      <c r="D50" s="91"/>
      <c r="E50" s="92"/>
      <c r="F50" s="31"/>
      <c r="G50" s="43"/>
      <c r="H50" s="32"/>
    </row>
    <row r="51" spans="1:8" ht="25" customHeight="1" x14ac:dyDescent="0.35">
      <c r="A51" s="15"/>
      <c r="B51" s="15"/>
      <c r="C51" s="15"/>
      <c r="D51" s="15"/>
      <c r="E51" s="15"/>
      <c r="F51" s="57">
        <f>SUM(F20:F49)</f>
        <v>1</v>
      </c>
      <c r="G51" s="85" t="s">
        <v>17</v>
      </c>
      <c r="H51" s="56">
        <f>SUM(H20:H50)</f>
        <v>0</v>
      </c>
    </row>
    <row r="52" spans="1:8" ht="25" customHeight="1" x14ac:dyDescent="0.35">
      <c r="A52" s="15"/>
      <c r="B52" s="15"/>
      <c r="C52" s="15"/>
      <c r="D52" s="15"/>
      <c r="E52" s="15"/>
      <c r="F52" s="34"/>
      <c r="G52" s="85" t="s">
        <v>28</v>
      </c>
      <c r="H52" s="56">
        <f>H51*0.07</f>
        <v>0</v>
      </c>
    </row>
    <row r="53" spans="1:8" ht="25" customHeight="1" x14ac:dyDescent="0.35">
      <c r="A53" s="15"/>
      <c r="B53" s="15"/>
      <c r="C53" s="15"/>
      <c r="D53" s="15"/>
      <c r="E53" s="15"/>
      <c r="F53" s="34"/>
      <c r="G53" s="85" t="s">
        <v>29</v>
      </c>
      <c r="H53" s="56">
        <f>SUM(H51:H52)</f>
        <v>0</v>
      </c>
    </row>
    <row r="54" spans="1:8" ht="25" customHeight="1" x14ac:dyDescent="0.35">
      <c r="A54" s="35"/>
      <c r="B54" s="35"/>
      <c r="C54" s="35"/>
      <c r="D54" s="15"/>
      <c r="E54" s="15"/>
      <c r="F54" s="36"/>
      <c r="G54" s="89" t="str">
        <f>"("&amp;BAHTTEXT(H$53)&amp;")"</f>
        <v>(ศูนย์บาทถ้วน)</v>
      </c>
      <c r="H54" s="89"/>
    </row>
    <row r="55" spans="1:8" ht="25" customHeight="1" x14ac:dyDescent="0.35">
      <c r="A55" s="37"/>
      <c r="B55" s="38"/>
      <c r="C55" s="39"/>
      <c r="D55" s="15"/>
      <c r="E55" s="15"/>
      <c r="F55" s="36"/>
      <c r="G55" s="40"/>
    </row>
    <row r="56" spans="1:8" x14ac:dyDescent="0.35">
      <c r="A56" s="37"/>
      <c r="B56" s="39"/>
      <c r="C56" s="39"/>
      <c r="D56" s="15"/>
      <c r="E56" s="15"/>
      <c r="F56" s="15"/>
      <c r="G56" s="15"/>
    </row>
    <row r="57" spans="1:8" x14ac:dyDescent="0.35">
      <c r="B57" s="41"/>
      <c r="C57" s="17"/>
      <c r="D57" s="17"/>
      <c r="E57" s="17"/>
      <c r="F57" s="17"/>
    </row>
    <row r="58" spans="1:8" x14ac:dyDescent="0.35">
      <c r="B58" s="42"/>
      <c r="C58" s="17"/>
      <c r="D58" s="17"/>
      <c r="E58" s="17"/>
      <c r="F58" s="17"/>
    </row>
    <row r="60" spans="1:8" x14ac:dyDescent="0.35">
      <c r="A60" s="41"/>
      <c r="B60" s="41"/>
      <c r="C60" s="41"/>
      <c r="D60" s="41"/>
      <c r="E60" s="41"/>
      <c r="F60" s="41"/>
      <c r="G60" s="41"/>
    </row>
    <row r="63" spans="1:8" x14ac:dyDescent="0.35">
      <c r="D63" s="100"/>
      <c r="E63" s="100"/>
    </row>
  </sheetData>
  <mergeCells count="9">
    <mergeCell ref="D63:E63"/>
    <mergeCell ref="G54:H54"/>
    <mergeCell ref="C50:E50"/>
    <mergeCell ref="D17:E17"/>
    <mergeCell ref="F17:G17"/>
    <mergeCell ref="C19:E19"/>
    <mergeCell ref="B12:D12"/>
    <mergeCell ref="D16:E16"/>
    <mergeCell ref="F16:G16"/>
  </mergeCells>
  <dataValidations count="1">
    <dataValidation type="list" allowBlank="1" showInputMessage="1" showErrorMessage="1" sqref="H5:H6" xr:uid="{00000000-0002-0000-0000-000000000000}">
      <formula1>Cus_code</formula1>
    </dataValidation>
  </dataValidations>
  <printOptions horizontalCentered="1" verticalCentered="1"/>
  <pageMargins left="0" right="0" top="0.22" bottom="0" header="0.25" footer="0"/>
  <pageSetup paperSize="9" scale="50" orientation="portrait" r:id="rId1"/>
  <headerFooter scaleWithDoc="0" alignWithMargins="0"/>
  <rowBreaks count="1" manualBreakCount="1">
    <brk id="6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Sales Quote  (2)</vt:lpstr>
      <vt:lpstr>'Sales Quote  (2)'!Print_Area</vt:lpstr>
      <vt:lpstr>'Sales Quote  (2)'!Print_Titles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Chottanin Amonsintharaphong</cp:lastModifiedBy>
  <cp:lastPrinted>2024-12-04T09:32:58Z</cp:lastPrinted>
  <dcterms:created xsi:type="dcterms:W3CDTF">2006-01-23T19:37:33Z</dcterms:created>
  <dcterms:modified xsi:type="dcterms:W3CDTF">2026-03-02T16:46:36Z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TC101514081033</vt:lpwstr>
  </property>
</Properties>
</file>
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1.xml" ContentType="application/vnd.ms-excel.person+xml"/>
  <Override PartName="/xl/persons/person0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checkCompatibility="1"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Users\Haruj\gear-motor-app\src\data\"/>
    </mc:Choice>
  </mc:AlternateContent>
  <xr:revisionPtr revIDLastSave="0" documentId="13_ncr:1_{2D23EFF6-59CC-482D-A23D-4A019679EB45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Sales Quote  (2)" sheetId="24" r:id="rId1"/>
  </sheets>
  <definedNames>
    <definedName name="address1" localSheetId="0">#REF!</definedName>
    <definedName name="address1">#REF!</definedName>
    <definedName name="address2" localSheetId="0">#REF!</definedName>
    <definedName name="address2">#REF!</definedName>
    <definedName name="address3" localSheetId="0">#REF!</definedName>
    <definedName name="address3">#REF!</definedName>
    <definedName name="Com_name" localSheetId="0">#REF!</definedName>
    <definedName name="Com_name">#REF!</definedName>
    <definedName name="Cus_code" localSheetId="0">#REF!</definedName>
    <definedName name="Cus_code">#REF!</definedName>
    <definedName name="cus_data" localSheetId="0">#REF!</definedName>
    <definedName name="cus_data">#REF!</definedName>
    <definedName name="cus_name" localSheetId="0">#REF!</definedName>
    <definedName name="cus_name">#REF!</definedName>
    <definedName name="dept" localSheetId="0">#REF!</definedName>
    <definedName name="dept">#REF!</definedName>
    <definedName name="email" localSheetId="0">#REF!</definedName>
    <definedName name="email">#REF!</definedName>
    <definedName name="fax" localSheetId="0">#REF!</definedName>
    <definedName name="fax">#REF!</definedName>
    <definedName name="No." localSheetId="0">#REF!</definedName>
    <definedName name="No.">#REF!</definedName>
    <definedName name="_xlnm.Print_Area" localSheetId="0">'Sales Quote  (2)'!$A$1:$H$63</definedName>
    <definedName name="_xlnm.Print_Titles" localSheetId="0">'Sales Quote  (2)'!$1:$19</definedName>
    <definedName name="tel" localSheetId="0">#REF!</definedName>
    <definedName name="tel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9" i="24" l="1"/>
  <c r="H20" i="24"/>
  <c r="H49" i="24" s="1"/>
  <c r="H4" i="24"/>
  <c r="H50" i="24" l="1"/>
  <c r="H51" i="24" s="1"/>
</calcChain>
</file>

<file path=xl/sharedStrings.xml><?xml version="1.0" encoding="utf-8"?>
<sst xmlns="http://schemas.openxmlformats.org/spreadsheetml/2006/main" count="50" uniqueCount="49">
  <si>
    <t>DESCRIPTION</t>
  </si>
  <si>
    <t>JOB</t>
  </si>
  <si>
    <t>DELIVERY 
DATE</t>
  </si>
  <si>
    <t>PAYMENT 
TERMS</t>
  </si>
  <si>
    <t>QTY</t>
  </si>
  <si>
    <t>TOTAL</t>
  </si>
  <si>
    <t>Warranty</t>
  </si>
  <si>
    <t>SALES</t>
  </si>
  <si>
    <t xml:space="preserve">ITEM </t>
  </si>
  <si>
    <t>Quotation NO.:</t>
  </si>
  <si>
    <t>Date.:</t>
  </si>
  <si>
    <t>Customer ID.:</t>
  </si>
  <si>
    <t>Expritation Date.:</t>
  </si>
  <si>
    <t>SHIPPING METHOD</t>
  </si>
  <si>
    <t>Synergy Asia Solution Co.,ltd</t>
  </si>
  <si>
    <t>Aumphur Bangplee,</t>
  </si>
  <si>
    <t>Samutprakarn 10540</t>
  </si>
  <si>
    <t>Total</t>
  </si>
  <si>
    <t>Fax (+66) 02-7511953</t>
  </si>
  <si>
    <t>Tel (+66) 02-3164752-55</t>
  </si>
  <si>
    <t xml:space="preserve">101/101 Moo 7, Tambol Bangpleeyai, </t>
  </si>
  <si>
    <t>30 day</t>
  </si>
  <si>
    <t>UNITPRICE</t>
  </si>
  <si>
    <t>-</t>
  </si>
  <si>
    <t>Tel :</t>
  </si>
  <si>
    <t>Fax :</t>
  </si>
  <si>
    <t>Email :</t>
  </si>
  <si>
    <t xml:space="preserve">To :     </t>
  </si>
  <si>
    <t>VAT 7%</t>
  </si>
  <si>
    <t>Total Price</t>
  </si>
  <si>
    <t>Car</t>
  </si>
  <si>
    <t>Code</t>
  </si>
  <si>
    <t>Credit 30 days</t>
  </si>
  <si>
    <t>18 Months</t>
  </si>
  <si>
    <t>SAS</t>
  </si>
  <si>
    <t>AC Gear Motor</t>
  </si>
  <si>
    <t>QUOTATION
ใบเสนอราคา</t>
  </si>
  <si>
    <t xml:space="preserve">LINE ID: @synergy.as  </t>
  </si>
  <si>
    <r>
      <t xml:space="preserve">
______________________________________         
</t>
    </r>
    <r>
      <rPr>
        <b/>
        <sz val="9"/>
        <color theme="1"/>
        <rFont val="Tahoma"/>
        <family val="2"/>
      </rPr>
      <t xml:space="preserve">To confirm this quotation, sign here and return: </t>
    </r>
    <r>
      <rPr>
        <sz val="11"/>
        <color theme="1"/>
        <rFont val="Tahoma"/>
        <family val="2"/>
      </rPr>
      <t xml:space="preserve">                                                                  </t>
    </r>
    <r>
      <rPr>
        <sz val="9"/>
        <color theme="1"/>
        <rFont val="Tahoma"/>
        <family val="2"/>
      </rPr>
      <t>Date   ......./......../...........</t>
    </r>
  </si>
  <si>
    <t>On the table</t>
  </si>
  <si>
    <t xml:space="preserve">______________________________________   </t>
  </si>
  <si>
    <t>TRANSMISSION PRODUCT MANAGER : 081-921-6225</t>
  </si>
  <si>
    <t xml:space="preserve">
                                                                                                                                                                           </t>
  </si>
  <si>
    <t>Mr. Chottanin A. (CA)</t>
  </si>
  <si>
    <t xml:space="preserve">Approve By </t>
  </si>
  <si>
    <t xml:space="preserve">Mr.Traiwit Luengthong  </t>
  </si>
  <si>
    <t xml:space="preserve">                                                                                                                                         </t>
  </si>
  <si>
    <t>SALE MANAGER</t>
  </si>
  <si>
    <t>QMO26-SAS-XXX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</si>
</sst>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.00_-;\-* #,##0.00_-;_-* &quot;-&quot;??_-;_-@_-"/>
    <numFmt numFmtId="165" formatCode="[$-409]mmmm\ d\,\ yyyy;@"/>
    <numFmt numFmtId="166" formatCode="m/d/yy;@"/>
    <numFmt numFmtId="167" formatCode="&quot;$&quot;#,##0.00"/>
    <numFmt numFmtId="168" formatCode="[$-1070000]d/mm/yyyy;@"/>
  </numFmts>
  <fonts count="41" x14ac:knownFonts="1">
    <font>
      <sz val="10"/>
      <name val="Arial"/>
    </font>
    <font>
      <sz val="10"/>
      <name val="Arial"/>
      <family val="2"/>
    </font>
    <font>
      <sz val="12"/>
      <name val="Tahoma"/>
      <family val="2"/>
    </font>
    <font>
      <u/>
      <sz val="10"/>
      <color theme="10"/>
      <name val="Arial"/>
      <family val="2"/>
    </font>
    <font>
      <sz val="14"/>
      <name val="Cordia New"/>
      <family val="2"/>
    </font>
    <font>
      <u/>
      <sz val="10"/>
      <color indexed="12"/>
      <name val="Arial"/>
      <family val="2"/>
    </font>
    <font>
      <u/>
      <sz val="10"/>
      <color theme="11"/>
      <name val="Arial"/>
      <family val="2"/>
    </font>
    <font>
      <sz val="1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1"/>
      <name val="돋움"/>
      <family val="3"/>
      <charset val="129"/>
    </font>
    <font>
      <sz val="10"/>
      <color theme="1"/>
      <name val="Arial"/>
      <family val="2"/>
    </font>
    <font>
      <sz val="20"/>
      <color theme="1"/>
      <name val="Trebuchet MS"/>
      <family val="2"/>
    </font>
    <font>
      <sz val="10"/>
      <color theme="1"/>
      <name val="Trebuchet MS"/>
      <family val="2"/>
    </font>
    <font>
      <b/>
      <sz val="12"/>
      <color theme="1"/>
      <name val="Tahoma"/>
      <family val="2"/>
    </font>
    <font>
      <b/>
      <sz val="8"/>
      <color theme="1"/>
      <name val="Trebuchet MS"/>
      <family val="2"/>
    </font>
    <font>
      <b/>
      <sz val="11"/>
      <color theme="1"/>
      <name val="Tahoma"/>
      <family val="2"/>
    </font>
    <font>
      <b/>
      <sz val="10"/>
      <color theme="1"/>
      <name val="Tahoma"/>
      <family val="2"/>
    </font>
    <font>
      <sz val="12"/>
      <color theme="1"/>
      <name val="Tahoma"/>
      <family val="2"/>
    </font>
    <font>
      <sz val="8"/>
      <color theme="1"/>
      <name val="Trebuchet MS"/>
      <family val="2"/>
    </font>
    <font>
      <sz val="15"/>
      <color theme="1"/>
      <name val="Trebuchet MS"/>
      <family val="2"/>
    </font>
    <font>
      <sz val="12"/>
      <color theme="1"/>
      <name val="Trebuchet MS"/>
      <family val="2"/>
    </font>
    <font>
      <sz val="10"/>
      <color theme="1"/>
      <name val="Tahoma"/>
      <family val="2"/>
    </font>
    <font>
      <i/>
      <sz val="8"/>
      <color theme="1"/>
      <name val="Trebuchet MS"/>
      <family val="2"/>
    </font>
    <font>
      <b/>
      <sz val="9"/>
      <color theme="1"/>
      <name val="Trebuchet MS"/>
      <family val="2"/>
    </font>
    <font>
      <b/>
      <u/>
      <sz val="12"/>
      <color theme="1"/>
      <name val="Tahoma"/>
      <family val="2"/>
    </font>
    <font>
      <sz val="11"/>
      <color theme="1"/>
      <name val="Tahoma"/>
      <family val="2"/>
    </font>
    <font>
      <sz val="10"/>
      <color theme="0" tint="-0.499984740745262"/>
      <name val="Tahoma"/>
      <family val="2"/>
    </font>
    <font>
      <sz val="12"/>
      <color theme="0" tint="-0.499984740745262"/>
      <name val="Tahoma"/>
      <family val="2"/>
    </font>
    <font>
      <sz val="10"/>
      <name val="Arial"/>
      <family val="2"/>
    </font>
    <font>
      <b/>
      <sz val="12"/>
      <color rgb="FF0070C0"/>
      <name val="Tahoma"/>
      <family val="2"/>
    </font>
    <font>
      <u val="singleAccounting"/>
      <sz val="12"/>
      <color theme="1"/>
      <name val="Tahoma"/>
      <family val="2"/>
    </font>
    <font>
      <sz val="11"/>
      <name val="Arial"/>
      <family val="2"/>
    </font>
    <font>
      <b/>
      <u/>
      <sz val="12"/>
      <color rgb="FF0070C0"/>
      <name val="Tahoma"/>
      <family val="2"/>
    </font>
    <font>
      <sz val="9"/>
      <color theme="1"/>
      <name val="Tahoma"/>
      <family val="2"/>
    </font>
    <font>
      <b/>
      <sz val="9"/>
      <color theme="1"/>
      <name val="Tahoma"/>
      <family val="2"/>
    </font>
    <font>
      <b/>
      <sz val="24"/>
      <color rgb="FF0070C0"/>
      <name val="Tahoma"/>
      <family val="2"/>
    </font>
    <font>
      <b/>
      <sz val="12"/>
      <color rgb="FF00B050"/>
      <name val="Tahoma"/>
      <family val="2"/>
    </font>
    <font>
      <sz val="9"/>
      <color theme="1"/>
      <name val="Trebuchet MS"/>
      <family val="2"/>
    </font>
    <font>
      <i/>
      <u/>
      <sz val="12"/>
      <name val="Tahoma"/>
      <family val="2"/>
    </font>
    <font>
      <u/>
      <sz val="12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3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3"/>
      </left>
      <right/>
      <top style="thin">
        <color theme="3"/>
      </top>
      <bottom style="thin">
        <color theme="3"/>
      </bottom>
      <diagonal/>
    </border>
    <border>
      <left/>
      <right/>
      <top style="thin">
        <color theme="3"/>
      </top>
      <bottom style="thin">
        <color theme="3"/>
      </bottom>
      <diagonal/>
    </border>
    <border>
      <left/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/>
      <diagonal/>
    </border>
  </borders>
  <cellStyleXfs count="113">
    <xf numFmtId="165" fontId="0" fillId="0" borderId="0"/>
    <xf numFmtId="165" fontId="1" fillId="0" borderId="0"/>
    <xf numFmtId="165" fontId="3" fillId="0" borderId="0" applyNumberFormat="0" applyFill="0" applyBorder="0" applyAlignment="0" applyProtection="0"/>
    <xf numFmtId="43" fontId="1" fillId="0" borderId="0" applyFont="0" applyFill="0" applyBorder="0" applyAlignment="0" applyProtection="0"/>
    <xf numFmtId="165" fontId="4" fillId="0" borderId="0"/>
    <xf numFmtId="165" fontId="5" fillId="0" borderId="0" applyNumberFormat="0" applyFill="0" applyBorder="0" applyAlignment="0" applyProtection="0">
      <alignment vertical="top"/>
      <protection locked="0"/>
    </xf>
    <xf numFmtId="164" fontId="4" fillId="0" borderId="0" applyFon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1" fillId="0" borderId="0"/>
    <xf numFmtId="165" fontId="8" fillId="0" borderId="0"/>
    <xf numFmtId="165" fontId="1" fillId="0" borderId="0"/>
    <xf numFmtId="165" fontId="1" fillId="0" borderId="0"/>
    <xf numFmtId="165" fontId="1" fillId="0" borderId="0"/>
    <xf numFmtId="43" fontId="9" fillId="0" borderId="0" applyFont="0" applyFill="0" applyBorder="0" applyAlignment="0" applyProtection="0"/>
    <xf numFmtId="0" fontId="10" fillId="0" borderId="0"/>
    <xf numFmtId="43" fontId="1" fillId="0" borderId="0" applyFont="0" applyFill="0" applyBorder="0" applyAlignment="0" applyProtection="0"/>
    <xf numFmtId="0" fontId="1" fillId="0" borderId="0"/>
    <xf numFmtId="44" fontId="29" fillId="0" borderId="0" applyFont="0" applyFill="0" applyBorder="0" applyAlignment="0" applyProtection="0"/>
  </cellStyleXfs>
  <cellXfs count="104">
    <xf numFmtId="165" fontId="0" fillId="0" borderId="0" xfId="0"/>
    <xf numFmtId="165" fontId="12" fillId="0" borderId="0" xfId="0" applyFont="1"/>
    <xf numFmtId="165" fontId="11" fillId="0" borderId="0" xfId="0" applyFont="1"/>
    <xf numFmtId="165" fontId="13" fillId="0" borderId="0" xfId="0" applyFont="1"/>
    <xf numFmtId="165" fontId="14" fillId="0" borderId="0" xfId="0" applyFont="1"/>
    <xf numFmtId="165" fontId="14" fillId="0" borderId="0" xfId="0" applyFont="1" applyAlignment="1">
      <alignment horizontal="left" indent="1"/>
    </xf>
    <xf numFmtId="165" fontId="15" fillId="0" borderId="0" xfId="0" applyFont="1"/>
    <xf numFmtId="165" fontId="14" fillId="0" borderId="0" xfId="0" applyFont="1" applyAlignment="1">
      <alignment horizontal="right"/>
    </xf>
    <xf numFmtId="165" fontId="16" fillId="0" borderId="0" xfId="0" applyFont="1" applyAlignment="1">
      <alignment horizontal="right"/>
    </xf>
    <xf numFmtId="49" fontId="14" fillId="0" borderId="0" xfId="0" applyNumberFormat="1" applyFont="1"/>
    <xf numFmtId="165" fontId="14" fillId="0" borderId="0" xfId="0" applyFont="1" applyAlignment="1">
      <alignment horizontal="left"/>
    </xf>
    <xf numFmtId="165" fontId="14" fillId="0" borderId="0" xfId="2" applyFont="1" applyAlignment="1">
      <alignment horizontal="left"/>
    </xf>
    <xf numFmtId="165" fontId="18" fillId="0" borderId="0" xfId="0" applyFont="1" applyAlignment="1">
      <alignment horizontal="left"/>
    </xf>
    <xf numFmtId="165" fontId="18" fillId="0" borderId="0" xfId="0" applyFont="1"/>
    <xf numFmtId="165" fontId="18" fillId="0" borderId="0" xfId="0" applyFont="1" applyAlignment="1">
      <alignment horizontal="left" indent="1"/>
    </xf>
    <xf numFmtId="165" fontId="19" fillId="0" borderId="0" xfId="0" applyFont="1"/>
    <xf numFmtId="165" fontId="13" fillId="0" borderId="0" xfId="0" applyFont="1" applyAlignment="1">
      <alignment wrapText="1"/>
    </xf>
    <xf numFmtId="165" fontId="13" fillId="0" borderId="0" xfId="0" applyFont="1" applyAlignment="1">
      <alignment horizontal="center"/>
    </xf>
    <xf numFmtId="165" fontId="18" fillId="0" borderId="2" xfId="0" applyFont="1" applyBorder="1" applyAlignment="1">
      <alignment horizontal="center"/>
    </xf>
    <xf numFmtId="165" fontId="18" fillId="0" borderId="3" xfId="0" applyFont="1" applyBorder="1" applyAlignment="1">
      <alignment horizontal="center"/>
    </xf>
    <xf numFmtId="166" fontId="18" fillId="0" borderId="3" xfId="0" applyNumberFormat="1" applyFont="1" applyBorder="1" applyAlignment="1">
      <alignment horizontal="center"/>
    </xf>
    <xf numFmtId="165" fontId="18" fillId="0" borderId="3" xfId="0" applyFont="1" applyBorder="1" applyAlignment="1">
      <alignment horizontal="center" wrapText="1"/>
    </xf>
    <xf numFmtId="165" fontId="13" fillId="0" borderId="3" xfId="0" applyFont="1" applyBorder="1" applyAlignment="1">
      <alignment horizontal="center"/>
    </xf>
    <xf numFmtId="1" fontId="18" fillId="0" borderId="1" xfId="0" applyNumberFormat="1" applyFont="1" applyBorder="1" applyAlignment="1">
      <alignment horizontal="center" vertical="center"/>
    </xf>
    <xf numFmtId="0" fontId="18" fillId="0" borderId="1" xfId="0" applyNumberFormat="1" applyFont="1" applyBorder="1" applyAlignment="1">
      <alignment horizontal="center" vertical="center"/>
    </xf>
    <xf numFmtId="3" fontId="18" fillId="0" borderId="1" xfId="0" applyNumberFormat="1" applyFont="1" applyBorder="1" applyAlignment="1">
      <alignment horizontal="center" vertical="center"/>
    </xf>
    <xf numFmtId="1" fontId="13" fillId="0" borderId="0" xfId="0" applyNumberFormat="1" applyFont="1" applyAlignment="1">
      <alignment horizontal="center" vertical="center"/>
    </xf>
    <xf numFmtId="165" fontId="13" fillId="0" borderId="0" xfId="0" applyFont="1" applyAlignment="1">
      <alignment vertical="center"/>
    </xf>
    <xf numFmtId="3" fontId="20" fillId="0" borderId="0" xfId="0" applyNumberFormat="1" applyFont="1" applyAlignment="1">
      <alignment horizontal="center" vertical="center"/>
    </xf>
    <xf numFmtId="165" fontId="14" fillId="0" borderId="1" xfId="0" applyFont="1" applyBorder="1" applyAlignment="1">
      <alignment horizontal="center" vertical="center"/>
    </xf>
    <xf numFmtId="165" fontId="18" fillId="0" borderId="1" xfId="0" applyFont="1" applyBorder="1" applyAlignment="1">
      <alignment horizontal="left" vertical="center"/>
    </xf>
    <xf numFmtId="165" fontId="21" fillId="0" borderId="0" xfId="0" applyFont="1"/>
    <xf numFmtId="165" fontId="22" fillId="0" borderId="0" xfId="0" applyFont="1"/>
    <xf numFmtId="165" fontId="15" fillId="2" borderId="0" xfId="0" applyFont="1" applyFill="1" applyAlignment="1">
      <alignment vertical="center"/>
    </xf>
    <xf numFmtId="165" fontId="15" fillId="0" borderId="0" xfId="0" applyFont="1" applyAlignment="1">
      <alignment horizontal="right"/>
    </xf>
    <xf numFmtId="165" fontId="23" fillId="2" borderId="0" xfId="0" applyFont="1" applyFill="1"/>
    <xf numFmtId="167" fontId="19" fillId="2" borderId="0" xfId="0" applyNumberFormat="1" applyFont="1" applyFill="1"/>
    <xf numFmtId="165" fontId="19" fillId="2" borderId="0" xfId="0" applyFont="1" applyFill="1"/>
    <xf numFmtId="44" fontId="24" fillId="2" borderId="0" xfId="0" applyNumberFormat="1" applyFont="1" applyFill="1"/>
    <xf numFmtId="165" fontId="18" fillId="0" borderId="2" xfId="0" applyFont="1" applyBorder="1" applyAlignment="1">
      <alignment horizontal="left" vertical="center"/>
    </xf>
    <xf numFmtId="0" fontId="25" fillId="0" borderId="1" xfId="0" applyNumberFormat="1" applyFont="1" applyBorder="1" applyAlignment="1">
      <alignment horizontal="center" vertical="center"/>
    </xf>
    <xf numFmtId="165" fontId="18" fillId="0" borderId="1" xfId="0" applyFont="1" applyBorder="1" applyAlignment="1">
      <alignment horizontal="center" vertical="center"/>
    </xf>
    <xf numFmtId="49" fontId="18" fillId="0" borderId="0" xfId="0" applyNumberFormat="1" applyFont="1" applyAlignment="1">
      <alignment vertical="center"/>
    </xf>
    <xf numFmtId="165" fontId="26" fillId="0" borderId="0" xfId="0" applyFont="1" applyAlignment="1">
      <alignment horizontal="left" vertical="center" wrapText="1"/>
    </xf>
    <xf numFmtId="165" fontId="16" fillId="0" borderId="0" xfId="0" quotePrefix="1" applyFont="1" applyAlignment="1">
      <alignment vertical="center"/>
    </xf>
    <xf numFmtId="165" fontId="14" fillId="0" borderId="0" xfId="0" applyFont="1" applyAlignment="1">
      <alignment wrapText="1"/>
    </xf>
    <xf numFmtId="168" fontId="14" fillId="0" borderId="0" xfId="0" applyNumberFormat="1" applyFont="1" applyAlignment="1">
      <alignment horizontal="left"/>
    </xf>
    <xf numFmtId="165" fontId="14" fillId="0" borderId="0" xfId="0" quotePrefix="1" applyFont="1"/>
    <xf numFmtId="43" fontId="18" fillId="0" borderId="5" xfId="108" applyFont="1" applyBorder="1" applyAlignment="1">
      <alignment horizontal="center" vertical="center"/>
    </xf>
    <xf numFmtId="1" fontId="28" fillId="0" borderId="0" xfId="0" applyNumberFormat="1" applyFont="1" applyAlignment="1">
      <alignment horizontal="center" vertical="center"/>
    </xf>
    <xf numFmtId="43" fontId="18" fillId="0" borderId="1" xfId="112" applyNumberFormat="1" applyFont="1" applyBorder="1" applyAlignment="1">
      <alignment horizontal="center" vertical="center"/>
    </xf>
    <xf numFmtId="1" fontId="18" fillId="0" borderId="6" xfId="0" applyNumberFormat="1" applyFont="1" applyBorder="1" applyAlignment="1">
      <alignment horizontal="center" vertical="center"/>
    </xf>
    <xf numFmtId="0" fontId="30" fillId="0" borderId="1" xfId="0" applyNumberFormat="1" applyFont="1" applyBorder="1" applyAlignment="1">
      <alignment horizontal="center" vertical="center"/>
    </xf>
    <xf numFmtId="165" fontId="26" fillId="0" borderId="0" xfId="0" quotePrefix="1" applyFont="1" applyAlignment="1">
      <alignment vertical="center"/>
    </xf>
    <xf numFmtId="166" fontId="14" fillId="3" borderId="1" xfId="0" applyNumberFormat="1" applyFont="1" applyFill="1" applyBorder="1" applyAlignment="1">
      <alignment horizontal="center" vertical="center"/>
    </xf>
    <xf numFmtId="165" fontId="14" fillId="3" borderId="1" xfId="0" applyFont="1" applyFill="1" applyBorder="1" applyAlignment="1">
      <alignment horizontal="center" vertical="center"/>
    </xf>
    <xf numFmtId="165" fontId="17" fillId="3" borderId="1" xfId="0" applyFont="1" applyFill="1" applyBorder="1" applyAlignment="1">
      <alignment horizontal="center" vertical="center" wrapText="1"/>
    </xf>
    <xf numFmtId="165" fontId="17" fillId="3" borderId="1" xfId="0" applyFont="1" applyFill="1" applyBorder="1" applyAlignment="1">
      <alignment horizontal="center" vertical="center"/>
    </xf>
    <xf numFmtId="44" fontId="20" fillId="0" borderId="0" xfId="112" applyFont="1" applyAlignment="1">
      <alignment horizontal="center" vertical="center"/>
    </xf>
    <xf numFmtId="43" fontId="31" fillId="0" borderId="1" xfId="0" applyNumberFormat="1" applyFont="1" applyBorder="1" applyAlignment="1">
      <alignment horizontal="center" vertical="center"/>
    </xf>
    <xf numFmtId="43" fontId="18" fillId="0" borderId="1" xfId="0" applyNumberFormat="1" applyFont="1" applyBorder="1" applyAlignment="1">
      <alignment horizontal="center" vertical="center"/>
    </xf>
    <xf numFmtId="165" fontId="2" fillId="0" borderId="2" xfId="0" applyFont="1" applyBorder="1" applyAlignment="1">
      <alignment horizontal="left" vertical="center"/>
    </xf>
    <xf numFmtId="0" fontId="33" fillId="0" borderId="1" xfId="0" applyNumberFormat="1" applyFont="1" applyBorder="1" applyAlignment="1">
      <alignment horizontal="center" vertical="center"/>
    </xf>
    <xf numFmtId="3" fontId="14" fillId="0" borderId="0" xfId="0" applyNumberFormat="1" applyFont="1" applyAlignment="1">
      <alignment horizontal="right" vertical="center"/>
    </xf>
    <xf numFmtId="165" fontId="32" fillId="0" borderId="0" xfId="2" applyFont="1" applyAlignment="1"/>
    <xf numFmtId="165" fontId="7" fillId="0" borderId="0" xfId="0" applyFont="1"/>
    <xf numFmtId="165" fontId="18" fillId="0" borderId="0" xfId="0" applyFont="1" applyAlignment="1">
      <alignment vertical="center" wrapText="1"/>
    </xf>
    <xf numFmtId="1" fontId="18" fillId="0" borderId="0" xfId="0" applyNumberFormat="1" applyFont="1"/>
    <xf numFmtId="165" fontId="19" fillId="0" borderId="0" xfId="0" applyFont="1" applyAlignment="1">
      <alignment wrapText="1"/>
    </xf>
    <xf numFmtId="165" fontId="22" fillId="0" borderId="0" xfId="0" applyFont="1" applyAlignment="1">
      <alignment vertical="top" wrapText="1"/>
    </xf>
    <xf numFmtId="165" fontId="13" fillId="0" borderId="0" xfId="0" applyFont="1" applyAlignment="1">
      <alignment vertical="top"/>
    </xf>
    <xf numFmtId="165" fontId="13" fillId="0" borderId="0" xfId="0" applyFont="1" applyAlignment="1">
      <alignment vertical="center" wrapText="1"/>
    </xf>
    <xf numFmtId="165" fontId="26" fillId="2" borderId="0" xfId="0" applyFont="1" applyFill="1" applyAlignment="1">
      <alignment horizontal="center" vertical="center" wrapText="1"/>
    </xf>
    <xf numFmtId="165" fontId="23" fillId="2" borderId="0" xfId="0" applyFont="1" applyFill="1" applyAlignment="1">
      <alignment horizontal="center" vertical="center"/>
    </xf>
    <xf numFmtId="165" fontId="13" fillId="0" borderId="0" xfId="0" applyFont="1" applyAlignment="1">
      <alignment horizontal="center" vertical="center"/>
    </xf>
    <xf numFmtId="165" fontId="22" fillId="0" borderId="0" xfId="0" applyFont="1" applyAlignment="1">
      <alignment horizontal="center" vertical="top"/>
    </xf>
    <xf numFmtId="165" fontId="16" fillId="0" borderId="0" xfId="0" applyFont="1" applyAlignment="1">
      <alignment horizontal="center" vertical="top"/>
    </xf>
    <xf numFmtId="1" fontId="16" fillId="0" borderId="0" xfId="0" applyNumberFormat="1" applyFont="1" applyAlignment="1">
      <alignment horizontal="left"/>
    </xf>
    <xf numFmtId="165" fontId="17" fillId="3" borderId="1" xfId="0" applyFont="1" applyFill="1" applyBorder="1" applyAlignment="1">
      <alignment horizontal="center" vertical="center" wrapText="1"/>
    </xf>
    <xf numFmtId="165" fontId="17" fillId="3" borderId="1" xfId="0" applyFont="1" applyFill="1" applyBorder="1" applyAlignment="1">
      <alignment horizontal="center" vertical="center"/>
    </xf>
    <xf numFmtId="44" fontId="27" fillId="2" borderId="0" xfId="0" applyNumberFormat="1" applyFont="1" applyFill="1" applyAlignment="1">
      <alignment horizontal="right" vertical="center"/>
    </xf>
    <xf numFmtId="165" fontId="18" fillId="0" borderId="1" xfId="0" applyFont="1" applyBorder="1" applyAlignment="1">
      <alignment horizontal="center" vertical="center"/>
    </xf>
    <xf numFmtId="166" fontId="18" fillId="0" borderId="1" xfId="0" applyNumberFormat="1" applyFont="1" applyBorder="1" applyAlignment="1">
      <alignment horizontal="center" vertical="center" wrapText="1"/>
    </xf>
    <xf numFmtId="165" fontId="14" fillId="3" borderId="1" xfId="0" applyFont="1" applyFill="1" applyBorder="1" applyAlignment="1">
      <alignment horizontal="center" vertical="center"/>
    </xf>
    <xf numFmtId="165" fontId="13" fillId="0" borderId="0" xfId="0" applyFont="1" applyAlignment="1">
      <alignment horizontal="center" vertical="center" wrapText="1"/>
    </xf>
    <xf numFmtId="165" fontId="38" fillId="0" borderId="0" xfId="0" applyFont="1" applyAlignment="1">
      <alignment horizontal="center" vertical="center" wrapText="1"/>
    </xf>
    <xf numFmtId="165" fontId="16" fillId="0" borderId="0" xfId="0" applyFont="1" applyAlignment="1">
      <alignment horizontal="center" vertical="center" wrapText="1"/>
    </xf>
    <xf numFmtId="165" fontId="22" fillId="0" borderId="0" xfId="0" applyFont="1" applyAlignment="1">
      <alignment horizontal="center" vertical="center" wrapText="1"/>
    </xf>
    <xf numFmtId="165" fontId="36" fillId="0" borderId="0" xfId="0" applyFont="1" applyAlignment="1">
      <alignment horizontal="center" wrapText="1"/>
    </xf>
    <xf numFmtId="165" fontId="11" fillId="0" borderId="0" xfId="0" applyFont="1" applyAlignment="1">
      <alignment horizontal="center"/>
    </xf>
    <xf numFmtId="165" fontId="37" fillId="0" borderId="0" xfId="0" applyFont="1" applyAlignment="1">
      <alignment horizontal="center" vertical="top"/>
    </xf>
    <xf numFmtId="165" fontId="14" fillId="0" borderId="0" xfId="0" applyFont="1" applyAlignment="1">
      <alignment horizontal="center" vertical="top"/>
    </xf>
    <xf numFmtId="165" fontId="1" fillId="0" borderId="0" xfId="0" applyFont="1"/>
    <xf numFmtId="165" fontId="2" fillId="0" borderId="3" xfId="0" applyFont="1" applyBorder="1" applyAlignment="1">
      <alignment horizontal="left" vertical="center" wrapText="1"/>
    </xf>
    <xf numFmtId="165" fontId="2" fillId="0" borderId="4" xfId="0" applyFont="1" applyBorder="1" applyAlignment="1">
      <alignment horizontal="left" vertical="center" wrapText="1"/>
    </xf>
    <xf numFmtId="165" fontId="2" fillId="0" borderId="3" xfId="0" applyFont="1" applyBorder="1" applyAlignment="1">
      <alignment horizontal="left" vertical="center"/>
    </xf>
    <xf numFmtId="165" fontId="2" fillId="0" borderId="4" xfId="0" applyFont="1" applyBorder="1" applyAlignment="1">
      <alignment horizontal="left" vertical="center"/>
    </xf>
    <xf numFmtId="165" fontId="39" fillId="0" borderId="2" xfId="0" applyFont="1" applyBorder="1" applyAlignment="1">
      <alignment horizontal="left" vertical="center"/>
    </xf>
    <xf numFmtId="165" fontId="40" fillId="0" borderId="3" xfId="0" applyFont="1" applyBorder="1" applyAlignment="1">
      <alignment horizontal="left" vertical="center"/>
    </xf>
    <xf numFmtId="165" fontId="40" fillId="0" borderId="4" xfId="0" applyFont="1" applyBorder="1" applyAlignment="1">
      <alignment horizontal="left" vertical="center"/>
    </xf>
    <xf numFmtId="165" fontId="40" fillId="0" borderId="2" xfId="0" applyFont="1" applyBorder="1" applyAlignment="1">
      <alignment horizontal="left" vertical="center"/>
    </xf>
    <xf numFmtId="165" fontId="40" fillId="0" borderId="2" xfId="0" applyFont="1" applyBorder="1" applyAlignment="1">
      <alignment horizontal="left" vertical="center"/>
    </xf>
    <xf numFmtId="165" fontId="40" fillId="0" borderId="3" xfId="0" applyFont="1" applyBorder="1" applyAlignment="1">
      <alignment horizontal="left" vertical="center"/>
    </xf>
    <xf numFmtId="165" fontId="40" fillId="0" borderId="4" xfId="0" applyFont="1" applyBorder="1" applyAlignment="1">
      <alignment horizontal="left" vertical="center"/>
    </xf>
  </cellXfs>
  <cellStyles count="113">
    <cellStyle name="Comma 2" xfId="3" xr:uid="{00000000-0005-0000-0000-000001000000}"/>
    <cellStyle name="Comma 2 2" xfId="110" xr:uid="{E6FB5BAE-FA0D-4474-8BCB-EA5D3F992134}"/>
    <cellStyle name="Comma 3" xfId="6" xr:uid="{00000000-0005-0000-0000-000002000000}"/>
    <cellStyle name="Followed Hyperlink" xfId="7" builtinId="9" hidden="1"/>
    <cellStyle name="Followed Hyperlink" xfId="8" builtinId="9" hidden="1"/>
    <cellStyle name="Followed Hyperlink" xfId="9" builtinId="9" hidden="1"/>
    <cellStyle name="Followed Hyperlink" xfId="10" builtinId="9" hidden="1"/>
    <cellStyle name="Followed Hyperlink" xfId="11" builtinId="9" hidden="1"/>
    <cellStyle name="Followed Hyperlink" xfId="12" builtinId="9" hidden="1"/>
    <cellStyle name="Followed Hyperlink" xfId="13" builtinId="9" hidden="1"/>
    <cellStyle name="Followed Hyperlink" xfId="14" builtinId="9" hidden="1"/>
    <cellStyle name="Followed Hyperlink" xfId="15" builtinId="9" hidden="1"/>
    <cellStyle name="Followed Hyperlink" xfId="16" builtinId="9" hidden="1"/>
    <cellStyle name="Followed Hyperlink" xfId="17" builtinId="9" hidden="1"/>
    <cellStyle name="Followed Hyperlink" xfId="18" builtinId="9" hidden="1"/>
    <cellStyle name="Followed Hyperlink" xfId="19" builtinId="9" hidden="1"/>
    <cellStyle name="Followed Hyperlink" xfId="20" builtinId="9" hidden="1"/>
    <cellStyle name="Followed Hyperlink" xfId="21" builtinId="9" hidden="1"/>
    <cellStyle name="Followed Hyperlink" xfId="22" builtinId="9" hidden="1"/>
    <cellStyle name="Followed Hyperlink" xfId="23" builtinId="9" hidden="1"/>
    <cellStyle name="Followed Hyperlink" xfId="24" builtinId="9" hidden="1"/>
    <cellStyle name="Followed Hyperlink" xfId="25" builtinId="9" hidden="1"/>
    <cellStyle name="Followed Hyperlink" xfId="26" builtinId="9" hidden="1"/>
    <cellStyle name="Followed Hyperlink" xfId="27" builtinId="9" hidden="1"/>
    <cellStyle name="Followed Hyperlink" xfId="28" builtinId="9" hidden="1"/>
    <cellStyle name="Followed Hyperlink" xfId="29" builtinId="9" hidden="1"/>
    <cellStyle name="Followed Hyperlink" xfId="30" builtinId="9" hidden="1"/>
    <cellStyle name="Followed Hyperlink" xfId="31" builtinId="9" hidden="1"/>
    <cellStyle name="Followed Hyperlink" xfId="32" builtinId="9" hidden="1"/>
    <cellStyle name="Followed Hyperlink" xfId="33" builtinId="9" hidden="1"/>
    <cellStyle name="Followed Hyperlink" xfId="34" builtinId="9" hidden="1"/>
    <cellStyle name="Followed Hyperlink" xfId="35" builtinId="9" hidden="1"/>
    <cellStyle name="Followed Hyperlink" xfId="36" builtinId="9" hidden="1"/>
    <cellStyle name="Followed Hyperlink" xfId="37" builtinId="9" hidden="1"/>
    <cellStyle name="Followed Hyperlink" xfId="38" builtinId="9" hidden="1"/>
    <cellStyle name="Followed Hyperlink" xfId="39" builtinId="9" hidden="1"/>
    <cellStyle name="Followed Hyperlink" xfId="40" builtinId="9" hidden="1"/>
    <cellStyle name="Followed Hyperlink" xfId="41" builtinId="9" hidden="1"/>
    <cellStyle name="Followed Hyperlink" xfId="42" builtinId="9" hidden="1"/>
    <cellStyle name="Followed Hyperlink" xfId="43" builtinId="9" hidden="1"/>
    <cellStyle name="Followed Hyperlink" xfId="44" builtinId="9" hidden="1"/>
    <cellStyle name="Followed Hyperlink" xfId="45" builtinId="9" hidden="1"/>
    <cellStyle name="Followed Hyperlink" xfId="46" builtinId="9" hidden="1"/>
    <cellStyle name="Followed Hyperlink" xfId="47" builtinId="9" hidden="1"/>
    <cellStyle name="Followed Hyperlink" xfId="48" builtinId="9" hidden="1"/>
    <cellStyle name="Followed Hyperlink" xfId="49" builtinId="9" hidden="1"/>
    <cellStyle name="Followed Hyperlink" xfId="50" builtinId="9" hidden="1"/>
    <cellStyle name="Followed Hyperlink" xfId="51" builtinId="9" hidden="1"/>
    <cellStyle name="Followed Hyperlink" xfId="52" builtinId="9" hidden="1"/>
    <cellStyle name="Followed Hyperlink" xfId="53" builtinId="9" hidden="1"/>
    <cellStyle name="Followed Hyperlink" xfId="54" builtinId="9" hidden="1"/>
    <cellStyle name="Followed Hyperlink" xfId="55" builtinId="9" hidden="1"/>
    <cellStyle name="Followed Hyperlink" xfId="56" builtinId="9" hidden="1"/>
    <cellStyle name="Followed Hyperlink" xfId="57" builtinId="9" hidden="1"/>
    <cellStyle name="Followed Hyperlink" xfId="58" builtinId="9" hidden="1"/>
    <cellStyle name="Followed Hyperlink" xfId="59" builtinId="9" hidden="1"/>
    <cellStyle name="Followed Hyperlink" xfId="60" builtinId="9" hidden="1"/>
    <cellStyle name="Followed Hyperlink" xfId="61" builtinId="9" hidden="1"/>
    <cellStyle name="Followed Hyperlink" xfId="62" builtinId="9" hidden="1"/>
    <cellStyle name="Followed Hyperlink" xfId="63" builtinId="9" hidden="1"/>
    <cellStyle name="Followed Hyperlink" xfId="64" builtinId="9" hidden="1"/>
    <cellStyle name="Followed Hyperlink" xfId="65" builtinId="9" hidden="1"/>
    <cellStyle name="Followed Hyperlink" xfId="66" builtinId="9" hidden="1"/>
    <cellStyle name="Followed Hyperlink" xfId="67" builtinId="9" hidden="1"/>
    <cellStyle name="Followed Hyperlink" xfId="68" builtinId="9" hidden="1"/>
    <cellStyle name="Followed Hyperlink" xfId="69" builtinId="9" hidden="1"/>
    <cellStyle name="Followed Hyperlink" xfId="70" builtinId="9" hidden="1"/>
    <cellStyle name="Followed Hyperlink" xfId="71" builtinId="9" hidden="1"/>
    <cellStyle name="Followed Hyperlink" xfId="72" builtinId="9" hidden="1"/>
    <cellStyle name="Followed Hyperlink" xfId="73" builtinId="9" hidden="1"/>
    <cellStyle name="Followed Hyperlink" xfId="74" builtinId="9" hidden="1"/>
    <cellStyle name="Followed Hyperlink" xfId="75" builtinId="9" hidden="1"/>
    <cellStyle name="Followed Hyperlink" xfId="76" builtinId="9" hidden="1"/>
    <cellStyle name="Followed Hyperlink" xfId="77" builtinId="9" hidden="1"/>
    <cellStyle name="Followed Hyperlink" xfId="78" builtinId="9" hidden="1"/>
    <cellStyle name="Followed Hyperlink" xfId="79" builtinId="9" hidden="1"/>
    <cellStyle name="Followed Hyperlink" xfId="80" builtinId="9" hidden="1"/>
    <cellStyle name="Followed Hyperlink" xfId="81" builtinId="9" hidden="1"/>
    <cellStyle name="Followed Hyperlink" xfId="82" builtinId="9" hidden="1"/>
    <cellStyle name="Followed Hyperlink" xfId="83" builtinId="9" hidden="1"/>
    <cellStyle name="Followed Hyperlink" xfId="84" builtinId="9" hidden="1"/>
    <cellStyle name="Followed Hyperlink" xfId="85" builtinId="9" hidden="1"/>
    <cellStyle name="Followed Hyperlink" xfId="86" builtinId="9" hidden="1"/>
    <cellStyle name="Followed Hyperlink" xfId="87" builtinId="9" hidden="1"/>
    <cellStyle name="Followed Hyperlink" xfId="88" builtinId="9" hidden="1"/>
    <cellStyle name="Followed Hyperlink" xfId="89" builtinId="9" hidden="1"/>
    <cellStyle name="Followed Hyperlink" xfId="90" builtinId="9" hidden="1"/>
    <cellStyle name="Followed Hyperlink" xfId="91" builtinId="9" hidden="1"/>
    <cellStyle name="Followed Hyperlink" xfId="92" builtinId="9" hidden="1"/>
    <cellStyle name="Followed Hyperlink" xfId="93" builtinId="9" hidden="1"/>
    <cellStyle name="Followed Hyperlink" xfId="94" builtinId="9" hidden="1"/>
    <cellStyle name="Followed Hyperlink" xfId="95" builtinId="9" hidden="1"/>
    <cellStyle name="Followed Hyperlink" xfId="96" builtinId="9" hidden="1"/>
    <cellStyle name="Followed Hyperlink" xfId="97" builtinId="9" hidden="1"/>
    <cellStyle name="Followed Hyperlink" xfId="98" builtinId="9" hidden="1"/>
    <cellStyle name="Followed Hyperlink" xfId="99" builtinId="9" hidden="1"/>
    <cellStyle name="Followed Hyperlink" xfId="100" builtinId="9" hidden="1"/>
    <cellStyle name="Followed Hyperlink" xfId="101" builtinId="9" hidden="1"/>
    <cellStyle name="Followed Hyperlink" xfId="102" builtinId="9" hidden="1"/>
    <cellStyle name="Hyperlink" xfId="2" builtinId="8"/>
    <cellStyle name="Hyperlink 2" xfId="5" xr:uid="{00000000-0005-0000-0000-000064000000}"/>
    <cellStyle name="Normal 12" xfId="104" xr:uid="{00000000-0005-0000-0000-000066000000}"/>
    <cellStyle name="Normal 12 2" xfId="107" xr:uid="{00000000-0005-0000-0000-000067000000}"/>
    <cellStyle name="Normal 2" xfId="1" xr:uid="{00000000-0005-0000-0000-000068000000}"/>
    <cellStyle name="Normal 2 2" xfId="103" xr:uid="{00000000-0005-0000-0000-000069000000}"/>
    <cellStyle name="Normal 2 2 2" xfId="105" xr:uid="{00000000-0005-0000-0000-00006A000000}"/>
    <cellStyle name="Normal 3" xfId="4" xr:uid="{00000000-0005-0000-0000-00006B000000}"/>
    <cellStyle name="Normal 8" xfId="106" xr:uid="{00000000-0005-0000-0000-00006C000000}"/>
    <cellStyle name="Normal_TRCC_Feeder schedule" xfId="111" xr:uid="{B052E4D8-9E8D-4046-BC27-DC69872303D1}"/>
    <cellStyle name="จุลภาค" xfId="108" builtinId="3"/>
    <cellStyle name="ปกติ" xfId="0" builtinId="0"/>
    <cellStyle name="สกุลเงิน" xfId="112" builtinId="4"/>
    <cellStyle name="표준_Sheet1_1" xfId="109" xr:uid="{00000000-0005-0000-0000-00006D000000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C6D4E8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ECECEC"/>
      <rgbColor rgb="00E4EAF4"/>
      <rgbColor rgb="00CCFFCC"/>
      <rgbColor rgb="00FFFF99"/>
      <rgbColor rgb="00D9D9D9"/>
      <rgbColor rgb="00FF99CC"/>
      <rgbColor rgb="00969696"/>
      <rgbColor rgb="00FFCC99"/>
      <rgbColor rgb="003366FF"/>
      <rgbColor rgb="0033CCCC"/>
      <rgbColor rgb="0099CC00"/>
      <rgbColor rgb="00FFCC00"/>
      <rgbColor rgb="00FF9900"/>
      <rgbColor rgb="00FF6600"/>
      <rgbColor rgb="003B5E91"/>
      <rgbColor rgb="00969696"/>
      <rgbColor rgb="00003366"/>
      <rgbColor rgb="00339966"/>
      <rgbColor rgb="00003300"/>
      <rgbColor rgb="00333300"/>
      <rgbColor rgb="00993300"/>
      <rgbColor rgb="00EFEFEF"/>
      <rgbColor rgb="003B5E91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11" Type="http://schemas.microsoft.com/office/2017/10/relationships/person" Target="persons/person1.xml"/><Relationship Id="rId5" Type="http://schemas.openxmlformats.org/officeDocument/2006/relationships/calcChain" Target="calcChain.xml"/><Relationship Id="rId10" Type="http://schemas.microsoft.com/office/2017/10/relationships/person" Target="persons/person0.xml"/><Relationship Id="rId4" Type="http://schemas.openxmlformats.org/officeDocument/2006/relationships/sharedStrings" Target="sharedStrings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3327167</xdr:colOff>
      <xdr:row>0</xdr:row>
      <xdr:rowOff>282755</xdr:rowOff>
    </xdr:from>
    <xdr:to>
      <xdr:col>6</xdr:col>
      <xdr:colOff>271998</xdr:colOff>
      <xdr:row>3</xdr:row>
      <xdr:rowOff>16882</xdr:rowOff>
    </xdr:to>
    <xdr:sp macro="" textlink="">
      <xdr:nvSpPr>
        <xdr:cNvPr id="2" name="Text Box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 noChangeArrowheads="1"/>
        </xdr:cNvSpPr>
      </xdr:nvSpPr>
      <xdr:spPr bwMode="auto">
        <a:xfrm>
          <a:off x="6391732" y="282755"/>
          <a:ext cx="3000338" cy="1022533"/>
        </a:xfrm>
        <a:prstGeom prst="rect">
          <a:avLst/>
        </a:prstGeom>
        <a:solidFill>
          <a:srgbClr val="FFFFFF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91440" tIns="45720" rIns="91440" bIns="45720" anchor="ctr" upright="1"/>
        <a:lstStyle/>
        <a:p>
          <a:pPr algn="r" rtl="0">
            <a:defRPr sz="1000"/>
          </a:pPr>
          <a:endParaRPr lang="en-US" sz="1800" b="1" i="0" u="none" strike="noStrike" baseline="0">
            <a:solidFill>
              <a:srgbClr val="3B5E91"/>
            </a:solidFill>
            <a:latin typeface="Trebuchet MS"/>
          </a:endParaRPr>
        </a:p>
      </xdr:txBody>
    </xdr:sp>
    <xdr:clientData/>
  </xdr:twoCellAnchor>
  <xdr:twoCellAnchor editAs="oneCell">
    <xdr:from>
      <xdr:col>0</xdr:col>
      <xdr:colOff>50801</xdr:colOff>
      <xdr:row>0</xdr:row>
      <xdr:rowOff>0</xdr:rowOff>
    </xdr:from>
    <xdr:to>
      <xdr:col>1</xdr:col>
      <xdr:colOff>215899</xdr:colOff>
      <xdr:row>0</xdr:row>
      <xdr:rowOff>624903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801" y="0"/>
          <a:ext cx="974723" cy="624903"/>
        </a:xfrm>
        <a:prstGeom prst="rect">
          <a:avLst/>
        </a:prstGeom>
      </xdr:spPr>
    </xdr:pic>
    <xdr:clientData/>
  </xdr:twoCellAnchor>
  <xdr:twoCellAnchor>
    <xdr:from>
      <xdr:col>3</xdr:col>
      <xdr:colOff>2651969</xdr:colOff>
      <xdr:row>4</xdr:row>
      <xdr:rowOff>107013</xdr:rowOff>
    </xdr:from>
    <xdr:to>
      <xdr:col>6</xdr:col>
      <xdr:colOff>472464</xdr:colOff>
      <xdr:row>14</xdr:row>
      <xdr:rowOff>42564</xdr:rowOff>
    </xdr:to>
    <xdr:grpSp>
      <xdr:nvGrpSpPr>
        <xdr:cNvPr id="9" name="กลุ่ม 12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pSpPr/>
      </xdr:nvGrpSpPr>
      <xdr:grpSpPr>
        <a:xfrm>
          <a:off x="5707331" y="1588680"/>
          <a:ext cx="3876003" cy="1849754"/>
          <a:chOff x="5801015" y="2259184"/>
          <a:chExt cx="3335229" cy="1154847"/>
        </a:xfrm>
      </xdr:grpSpPr>
      <xdr:sp macro="" textlink="">
        <xdr:nvSpPr>
          <xdr:cNvPr id="10" name="Text Box 18">
            <a:extLst>
              <a:ext uri="{FF2B5EF4-FFF2-40B4-BE49-F238E27FC236}">
                <a16:creationId xmlns:a16="http://schemas.microsoft.com/office/drawing/2014/main" id="{00000000-0008-0000-0000-00000A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5801015" y="2259184"/>
            <a:ext cx="2304559" cy="333376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>
                    <a:alpha val="0"/>
                  </a:srgbClr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91440" tIns="45720" rIns="91440" bIns="45720" anchor="t" upright="1"/>
          <a:lstStyle/>
          <a:p>
            <a:pPr algn="l" rtl="0">
              <a:defRPr sz="1000"/>
            </a:pPr>
            <a:endParaRPr lang="en-US" sz="1050" b="1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</xdr:txBody>
      </xdr:sp>
      <xdr:pic>
        <xdr:nvPicPr>
          <xdr:cNvPr id="11" name="Picture 11" descr="_fHqG-tj6z.png">
            <a:extLst>
              <a:ext uri="{FF2B5EF4-FFF2-40B4-BE49-F238E27FC236}">
                <a16:creationId xmlns:a16="http://schemas.microsoft.com/office/drawing/2014/main" id="{00000000-0008-0000-0000-00000B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 cstate="print"/>
          <a:stretch>
            <a:fillRect/>
          </a:stretch>
        </xdr:blipFill>
        <xdr:spPr>
          <a:xfrm>
            <a:off x="8028215" y="2589250"/>
            <a:ext cx="1108029" cy="824781"/>
          </a:xfrm>
          <a:prstGeom prst="rect">
            <a:avLst/>
          </a:prstGeom>
        </xdr:spPr>
      </xdr:pic>
    </xdr:grpSp>
    <xdr:clientData/>
  </xdr:twoCellAnchor>
  <xdr:twoCellAnchor editAs="oneCell">
    <xdr:from>
      <xdr:col>6</xdr:col>
      <xdr:colOff>92029</xdr:colOff>
      <xdr:row>50</xdr:row>
      <xdr:rowOff>205774</xdr:rowOff>
    </xdr:from>
    <xdr:to>
      <xdr:col>7</xdr:col>
      <xdr:colOff>861943</xdr:colOff>
      <xdr:row>59</xdr:row>
      <xdr:rowOff>98104</xdr:rowOff>
    </xdr:to>
    <xdr:pic>
      <xdr:nvPicPr>
        <xdr:cNvPr id="4" name="รูปภาพ 3">
          <a:extLst>
            <a:ext uri="{FF2B5EF4-FFF2-40B4-BE49-F238E27FC236}">
              <a16:creationId xmlns:a16="http://schemas.microsoft.com/office/drawing/2014/main" id="{AD2C1811-3B37-889D-D156-AD920F5AB1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212101" y="15013238"/>
          <a:ext cx="1901871" cy="190776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2"/>
  <sheetViews>
    <sheetView showGridLines="0" tabSelected="1" view="pageBreakPreview" topLeftCell="A12" zoomScale="69" zoomScaleNormal="55" workbookViewId="0">
      <selection activeCell="C20" sqref="C20"/>
    </sheetView>
  </sheetViews>
  <sheetFormatPr defaultColWidth="8.81640625" defaultRowHeight="13.5" x14ac:dyDescent="0.35"/>
  <cols>
    <col min="1" max="1" width="12.1796875" style="3" customWidth="1"/>
    <col min="2" max="2" width="19.81640625" style="3" customWidth="1"/>
    <col min="3" max="3" width="11.81640625" style="3" customWidth="1"/>
    <col min="4" max="4" width="49.7265625" style="3" customWidth="1"/>
    <col min="5" max="5" width="25.81640625" style="3" customWidth="1"/>
    <col min="6" max="6" width="11.1796875" style="3" customWidth="1"/>
    <col min="7" max="7" width="16.1796875" style="3" customWidth="1"/>
    <col min="8" max="8" width="25.81640625" style="3" customWidth="1"/>
    <col min="9" max="9" width="8.81640625" style="3"/>
    <col min="10" max="10" width="21.81640625" style="3" bestFit="1" customWidth="1"/>
    <col min="11" max="16384" width="8.81640625" style="3"/>
  </cols>
  <sheetData>
    <row r="1" spans="1:13" ht="71.150000000000006" customHeight="1" x14ac:dyDescent="0.55000000000000004">
      <c r="A1" s="1" t="s">
        <v>14</v>
      </c>
      <c r="B1" s="2"/>
      <c r="C1" s="2"/>
      <c r="D1" s="2"/>
      <c r="E1" s="2"/>
      <c r="F1" s="2"/>
      <c r="G1" s="88" t="s">
        <v>36</v>
      </c>
      <c r="H1" s="89"/>
    </row>
    <row r="2" spans="1:13" s="6" customFormat="1" ht="15" customHeight="1" x14ac:dyDescent="0.35">
      <c r="A2" s="4" t="s">
        <v>20</v>
      </c>
      <c r="B2" s="5"/>
      <c r="C2" s="4"/>
      <c r="D2" s="4"/>
      <c r="E2" s="4"/>
      <c r="F2" s="4"/>
      <c r="G2" s="4"/>
    </row>
    <row r="3" spans="1:13" s="6" customFormat="1" ht="15" customHeight="1" x14ac:dyDescent="0.35">
      <c r="A3" s="4" t="s">
        <v>15</v>
      </c>
      <c r="B3" s="5"/>
      <c r="C3" s="4"/>
      <c r="D3" s="4"/>
      <c r="E3" s="7"/>
      <c r="F3" s="8"/>
      <c r="G3" s="8" t="s">
        <v>9</v>
      </c>
      <c r="H3" s="9" t="s">
        <v>48</v>
      </c>
    </row>
    <row r="4" spans="1:13" s="6" customFormat="1" ht="15" customHeight="1" x14ac:dyDescent="0.35">
      <c r="A4" s="4" t="s">
        <v>16</v>
      </c>
      <c r="B4" s="5"/>
      <c r="C4" s="4"/>
      <c r="D4" s="4"/>
      <c r="E4" s="7"/>
      <c r="F4" s="8"/>
      <c r="G4" s="8" t="s">
        <v>10</v>
      </c>
      <c r="H4" s="46">
        <f ca="1">TODAY()</f>
        <v>46113</v>
      </c>
    </row>
    <row r="5" spans="1:13" s="6" customFormat="1" ht="15" customHeight="1" x14ac:dyDescent="0.35">
      <c r="A5" s="4" t="s">
        <v>19</v>
      </c>
      <c r="B5" s="4"/>
      <c r="C5" s="4"/>
      <c r="D5" s="4"/>
      <c r="E5" s="7"/>
      <c r="F5" s="8"/>
      <c r="G5" s="8" t="s">
        <v>11</v>
      </c>
      <c r="H5" s="47" t="s">
        <v>23</v>
      </c>
    </row>
    <row r="6" spans="1:13" s="6" customFormat="1" ht="15" customHeight="1" x14ac:dyDescent="0.35">
      <c r="A6" s="4" t="s">
        <v>18</v>
      </c>
      <c r="B6" s="4"/>
      <c r="C6" s="4"/>
      <c r="D6" s="4"/>
      <c r="E6" s="7"/>
      <c r="F6" s="8"/>
      <c r="G6" s="8" t="s">
        <v>12</v>
      </c>
      <c r="H6" s="10" t="s">
        <v>21</v>
      </c>
    </row>
    <row r="7" spans="1:13" s="6" customFormat="1" ht="14.15" customHeight="1" x14ac:dyDescent="0.35">
      <c r="A7" s="4"/>
      <c r="B7" s="4"/>
      <c r="C7" s="4"/>
      <c r="D7" s="4"/>
      <c r="E7" s="4"/>
      <c r="F7" s="8"/>
      <c r="G7" s="5"/>
    </row>
    <row r="8" spans="1:13" s="6" customFormat="1" ht="15" customHeight="1" x14ac:dyDescent="0.35">
      <c r="A8" s="45" t="s">
        <v>27</v>
      </c>
      <c r="B8" s="11"/>
      <c r="C8" s="10"/>
      <c r="D8" s="10"/>
      <c r="E8" s="10"/>
      <c r="F8" s="5"/>
      <c r="G8" s="5"/>
    </row>
    <row r="9" spans="1:13" s="6" customFormat="1" ht="15" customHeight="1" x14ac:dyDescent="0.35">
      <c r="A9" s="4"/>
      <c r="B9" s="42"/>
      <c r="C9" s="42"/>
      <c r="D9" s="42"/>
      <c r="E9" s="12"/>
      <c r="F9" s="5"/>
      <c r="G9" s="5"/>
    </row>
    <row r="10" spans="1:13" s="6" customFormat="1" ht="15" customHeight="1" x14ac:dyDescent="0.35">
      <c r="A10" s="4"/>
      <c r="B10" s="66"/>
      <c r="C10" s="66"/>
      <c r="D10" s="66"/>
      <c r="E10" s="66"/>
      <c r="F10" s="5"/>
      <c r="G10" s="5"/>
      <c r="M10"/>
    </row>
    <row r="11" spans="1:13" s="6" customFormat="1" ht="15" customHeight="1" x14ac:dyDescent="0.35">
      <c r="A11" s="4"/>
      <c r="B11" s="67"/>
      <c r="C11" s="67"/>
      <c r="D11" s="67"/>
      <c r="E11" s="43"/>
      <c r="F11" s="5"/>
      <c r="G11" s="90" t="s">
        <v>37</v>
      </c>
      <c r="H11" s="91"/>
    </row>
    <row r="12" spans="1:13" s="6" customFormat="1" ht="15" customHeight="1" x14ac:dyDescent="0.35">
      <c r="A12" s="4"/>
      <c r="B12" s="77"/>
      <c r="C12" s="77"/>
      <c r="D12" s="77"/>
      <c r="E12" s="10"/>
      <c r="F12" s="5"/>
      <c r="G12" s="91"/>
      <c r="H12" s="91"/>
    </row>
    <row r="13" spans="1:13" s="6" customFormat="1" ht="15" customHeight="1" x14ac:dyDescent="0.35">
      <c r="A13" s="4" t="s">
        <v>26</v>
      </c>
      <c r="B13" s="64"/>
      <c r="C13" s="65"/>
      <c r="D13" s="65"/>
      <c r="E13" s="10"/>
      <c r="F13" s="5"/>
      <c r="G13" s="5"/>
    </row>
    <row r="14" spans="1:13" s="6" customFormat="1" ht="15" customHeight="1" x14ac:dyDescent="0.35">
      <c r="A14" s="4" t="s">
        <v>24</v>
      </c>
      <c r="B14" s="53"/>
      <c r="C14" s="10"/>
      <c r="D14" s="4"/>
      <c r="E14" s="4"/>
      <c r="F14" s="5"/>
      <c r="G14" s="4"/>
    </row>
    <row r="15" spans="1:13" s="15" customFormat="1" ht="15" customHeight="1" x14ac:dyDescent="0.35">
      <c r="A15" s="4" t="s">
        <v>25</v>
      </c>
      <c r="B15" s="44"/>
      <c r="C15" s="12"/>
      <c r="D15" s="13"/>
      <c r="E15" s="13"/>
      <c r="F15" s="14"/>
      <c r="G15" s="13"/>
      <c r="H15" s="6"/>
    </row>
    <row r="16" spans="1:13" s="16" customFormat="1" ht="33.75" customHeight="1" x14ac:dyDescent="0.35">
      <c r="A16" s="56" t="s">
        <v>7</v>
      </c>
      <c r="B16" s="56" t="s">
        <v>6</v>
      </c>
      <c r="C16" s="56" t="s">
        <v>13</v>
      </c>
      <c r="D16" s="78" t="s">
        <v>1</v>
      </c>
      <c r="E16" s="78"/>
      <c r="F16" s="78" t="s">
        <v>2</v>
      </c>
      <c r="G16" s="79"/>
      <c r="H16" s="57" t="s">
        <v>3</v>
      </c>
    </row>
    <row r="17" spans="1:10" s="17" customFormat="1" ht="22.5" customHeight="1" x14ac:dyDescent="0.35">
      <c r="A17" s="41" t="s">
        <v>34</v>
      </c>
      <c r="B17" s="52" t="s">
        <v>33</v>
      </c>
      <c r="C17" s="41" t="s">
        <v>30</v>
      </c>
      <c r="D17" s="81" t="s">
        <v>35</v>
      </c>
      <c r="E17" s="81"/>
      <c r="F17" s="82" t="s">
        <v>39</v>
      </c>
      <c r="G17" s="82"/>
      <c r="H17" s="24" t="s">
        <v>32</v>
      </c>
    </row>
    <row r="18" spans="1:10" s="17" customFormat="1" ht="16" customHeight="1" x14ac:dyDescent="0.35">
      <c r="A18" s="18"/>
      <c r="B18" s="19"/>
      <c r="C18" s="19"/>
      <c r="D18" s="19"/>
      <c r="E18" s="19"/>
      <c r="F18" s="20"/>
      <c r="G18" s="21"/>
      <c r="H18" s="22"/>
    </row>
    <row r="19" spans="1:10" ht="25.5" customHeight="1" x14ac:dyDescent="0.35">
      <c r="A19" s="54" t="s">
        <v>8</v>
      </c>
      <c r="B19" s="54" t="s">
        <v>31</v>
      </c>
      <c r="C19" s="83" t="s">
        <v>0</v>
      </c>
      <c r="D19" s="83"/>
      <c r="E19" s="83"/>
      <c r="F19" s="55" t="s">
        <v>4</v>
      </c>
      <c r="G19" s="55" t="s">
        <v>22</v>
      </c>
      <c r="H19" s="55" t="s">
        <v>5</v>
      </c>
    </row>
    <row r="20" spans="1:10" s="27" customFormat="1" ht="25" customHeight="1" x14ac:dyDescent="0.25">
      <c r="A20" s="51">
        <v>1</v>
      </c>
      <c r="B20" s="24"/>
      <c r="C20" s="61"/>
      <c r="D20" s="93"/>
      <c r="E20" s="94"/>
      <c r="F20" s="25">
        <v>1</v>
      </c>
      <c r="G20" s="50"/>
      <c r="H20" s="50">
        <f>G20*F20</f>
        <v>0</v>
      </c>
      <c r="I20" s="26"/>
    </row>
    <row r="21" spans="1:10" s="27" customFormat="1" ht="25" customHeight="1" x14ac:dyDescent="0.25">
      <c r="A21" s="24"/>
      <c r="B21" s="24"/>
      <c r="C21" s="61"/>
      <c r="D21" s="95"/>
      <c r="E21" s="96"/>
      <c r="F21" s="25"/>
      <c r="G21" s="60"/>
      <c r="H21" s="50"/>
      <c r="I21" s="26"/>
    </row>
    <row r="22" spans="1:10" s="27" customFormat="1" ht="25" customHeight="1" x14ac:dyDescent="0.25">
      <c r="A22" s="24"/>
      <c r="B22" s="24"/>
      <c r="C22" s="61"/>
      <c r="D22" s="95"/>
      <c r="E22" s="96"/>
      <c r="F22" s="25"/>
      <c r="G22" s="50"/>
      <c r="H22" s="50"/>
      <c r="I22" s="26"/>
    </row>
    <row r="23" spans="1:10" s="27" customFormat="1" ht="25" customHeight="1" x14ac:dyDescent="0.25">
      <c r="A23" s="51"/>
      <c r="B23" s="24"/>
      <c r="C23" s="61"/>
      <c r="D23" s="93"/>
      <c r="E23" s="94"/>
      <c r="F23" s="25"/>
      <c r="G23" s="50"/>
      <c r="H23" s="50"/>
      <c r="I23" s="26"/>
    </row>
    <row r="24" spans="1:10" ht="25" customHeight="1" x14ac:dyDescent="0.35">
      <c r="A24" s="24"/>
      <c r="B24" s="24"/>
      <c r="C24" s="61"/>
      <c r="D24" s="95"/>
      <c r="E24" s="96"/>
      <c r="F24" s="25"/>
      <c r="G24" s="60"/>
      <c r="H24" s="50"/>
      <c r="J24" s="28"/>
    </row>
    <row r="25" spans="1:10" ht="25" customHeight="1" x14ac:dyDescent="0.35">
      <c r="A25" s="51"/>
      <c r="B25" s="24"/>
      <c r="C25" s="61"/>
      <c r="D25" s="93"/>
      <c r="E25" s="94"/>
      <c r="F25" s="25"/>
      <c r="G25" s="50"/>
      <c r="H25" s="50"/>
      <c r="J25" s="28"/>
    </row>
    <row r="26" spans="1:10" ht="25" customHeight="1" x14ac:dyDescent="0.35">
      <c r="A26" s="24"/>
      <c r="B26" s="24"/>
      <c r="C26" s="61"/>
      <c r="D26" s="95"/>
      <c r="E26" s="96"/>
      <c r="F26" s="25"/>
      <c r="G26" s="59"/>
      <c r="H26" s="50"/>
      <c r="J26" s="58"/>
    </row>
    <row r="27" spans="1:10" ht="25" customHeight="1" x14ac:dyDescent="0.35">
      <c r="A27" s="24"/>
      <c r="B27" s="24"/>
      <c r="C27" s="61"/>
      <c r="D27" s="95"/>
      <c r="E27" s="96"/>
      <c r="F27" s="25"/>
      <c r="G27" s="59"/>
      <c r="H27" s="50"/>
      <c r="J27" s="58"/>
    </row>
    <row r="28" spans="1:10" ht="25" customHeight="1" x14ac:dyDescent="0.35">
      <c r="A28" s="24"/>
      <c r="B28" s="24"/>
      <c r="C28" s="61"/>
      <c r="D28" s="95"/>
      <c r="E28" s="96"/>
      <c r="F28" s="25"/>
      <c r="G28" s="59"/>
      <c r="H28" s="50"/>
      <c r="J28" s="58"/>
    </row>
    <row r="29" spans="1:10" ht="25" customHeight="1" x14ac:dyDescent="0.35">
      <c r="A29" s="24"/>
      <c r="B29" s="24"/>
      <c r="C29" s="61"/>
      <c r="D29" s="95"/>
      <c r="E29" s="96"/>
      <c r="F29" s="25"/>
      <c r="G29" s="50"/>
      <c r="H29" s="50"/>
      <c r="J29" s="58"/>
    </row>
    <row r="30" spans="1:10" ht="25" customHeight="1" x14ac:dyDescent="0.35">
      <c r="A30" s="51"/>
      <c r="B30" s="24"/>
      <c r="C30" s="61"/>
      <c r="D30" s="93"/>
      <c r="E30" s="94"/>
      <c r="F30" s="25"/>
      <c r="G30" s="50"/>
      <c r="H30" s="50"/>
      <c r="J30" s="58"/>
    </row>
    <row r="31" spans="1:10" ht="25" customHeight="1" x14ac:dyDescent="0.35">
      <c r="A31" s="24"/>
      <c r="B31" s="24"/>
      <c r="C31" s="61"/>
      <c r="D31" s="95"/>
      <c r="E31" s="96"/>
      <c r="F31" s="25"/>
      <c r="G31" s="60"/>
      <c r="H31" s="50"/>
      <c r="J31" s="58"/>
    </row>
    <row r="32" spans="1:10" ht="25" customHeight="1" x14ac:dyDescent="0.35">
      <c r="A32" s="51"/>
      <c r="B32" s="24"/>
      <c r="C32" s="61"/>
      <c r="D32" s="93"/>
      <c r="E32" s="94"/>
      <c r="F32" s="25"/>
      <c r="G32" s="50"/>
      <c r="H32" s="50"/>
      <c r="J32" s="58"/>
    </row>
    <row r="33" spans="1:10" ht="25" customHeight="1" x14ac:dyDescent="0.35">
      <c r="A33" s="24"/>
      <c r="B33" s="24"/>
      <c r="C33" s="61"/>
      <c r="D33" s="95"/>
      <c r="E33" s="96"/>
      <c r="F33" s="25"/>
      <c r="G33" s="59"/>
      <c r="H33" s="50"/>
      <c r="J33" s="58"/>
    </row>
    <row r="34" spans="1:10" ht="25" customHeight="1" x14ac:dyDescent="0.35">
      <c r="A34" s="24"/>
      <c r="B34" s="24"/>
      <c r="C34" s="97"/>
      <c r="D34" s="95"/>
      <c r="E34" s="96"/>
      <c r="F34" s="25"/>
      <c r="G34" s="59"/>
      <c r="H34" s="50"/>
      <c r="J34" s="58"/>
    </row>
    <row r="35" spans="1:10" ht="25" customHeight="1" x14ac:dyDescent="0.35">
      <c r="A35" s="24"/>
      <c r="B35" s="24"/>
      <c r="C35" s="61"/>
      <c r="D35" s="95"/>
      <c r="E35" s="96"/>
      <c r="F35" s="25"/>
      <c r="G35" s="59"/>
      <c r="H35" s="50"/>
      <c r="J35" s="58"/>
    </row>
    <row r="36" spans="1:10" ht="25" customHeight="1" x14ac:dyDescent="0.35">
      <c r="A36" s="24"/>
      <c r="B36" s="24"/>
      <c r="C36" s="97"/>
      <c r="D36" s="95"/>
      <c r="E36" s="96"/>
      <c r="F36" s="25"/>
      <c r="G36" s="59"/>
      <c r="H36" s="50"/>
      <c r="J36" s="58"/>
    </row>
    <row r="37" spans="1:10" ht="25" customHeight="1" x14ac:dyDescent="0.35">
      <c r="A37" s="24"/>
      <c r="B37" s="24"/>
      <c r="C37" s="61"/>
      <c r="D37" s="95"/>
      <c r="E37" s="96"/>
      <c r="F37" s="25"/>
      <c r="G37" s="59"/>
      <c r="H37" s="50"/>
      <c r="J37" s="58"/>
    </row>
    <row r="38" spans="1:10" ht="25" customHeight="1" x14ac:dyDescent="0.35">
      <c r="A38" s="24"/>
      <c r="B38" s="24"/>
      <c r="C38" s="61"/>
      <c r="D38" s="95"/>
      <c r="E38" s="96"/>
      <c r="F38" s="25"/>
      <c r="G38" s="50"/>
      <c r="H38" s="50"/>
      <c r="J38" s="28"/>
    </row>
    <row r="39" spans="1:10" ht="25" customHeight="1" x14ac:dyDescent="0.35">
      <c r="A39" s="51"/>
      <c r="B39" s="24"/>
      <c r="C39" s="61"/>
      <c r="D39" s="92"/>
      <c r="E39" s="92"/>
      <c r="F39" s="25"/>
      <c r="G39" s="50"/>
      <c r="H39" s="50"/>
      <c r="J39" s="28"/>
    </row>
    <row r="40" spans="1:10" ht="25" customHeight="1" x14ac:dyDescent="0.35">
      <c r="A40" s="24"/>
      <c r="B40" s="24"/>
      <c r="C40" s="61"/>
      <c r="D40" s="95"/>
      <c r="E40" s="96"/>
      <c r="F40" s="25"/>
      <c r="G40" s="60"/>
      <c r="H40" s="50"/>
      <c r="J40" s="28"/>
    </row>
    <row r="41" spans="1:10" ht="25" customHeight="1" x14ac:dyDescent="0.35">
      <c r="A41" s="51"/>
      <c r="B41" s="24"/>
      <c r="C41" s="61"/>
      <c r="D41" s="93"/>
      <c r="E41" s="94"/>
      <c r="F41" s="25"/>
      <c r="G41" s="50"/>
      <c r="H41" s="50"/>
      <c r="J41" s="28"/>
    </row>
    <row r="42" spans="1:10" ht="25" customHeight="1" x14ac:dyDescent="0.35">
      <c r="A42" s="24"/>
      <c r="B42" s="24"/>
      <c r="C42" s="61"/>
      <c r="D42" s="95"/>
      <c r="E42" s="96"/>
      <c r="F42" s="25"/>
      <c r="G42" s="59"/>
      <c r="H42" s="50"/>
      <c r="J42" s="28"/>
    </row>
    <row r="43" spans="1:10" ht="25" customHeight="1" x14ac:dyDescent="0.35">
      <c r="A43" s="24"/>
      <c r="B43" s="24"/>
      <c r="C43" s="61"/>
      <c r="D43" s="93"/>
      <c r="E43" s="94"/>
      <c r="F43" s="25"/>
      <c r="G43" s="59"/>
      <c r="H43" s="50"/>
      <c r="J43" s="28"/>
    </row>
    <row r="44" spans="1:10" ht="25" customHeight="1" x14ac:dyDescent="0.35">
      <c r="A44" s="51"/>
      <c r="B44" s="24"/>
      <c r="C44" s="61"/>
      <c r="D44" s="95"/>
      <c r="E44" s="96"/>
      <c r="F44" s="25"/>
      <c r="G44" s="50"/>
      <c r="H44" s="50"/>
      <c r="J44" s="28"/>
    </row>
    <row r="45" spans="1:10" ht="25" customHeight="1" x14ac:dyDescent="0.35">
      <c r="A45" s="24"/>
      <c r="B45" s="40"/>
      <c r="C45" s="61"/>
      <c r="D45" s="95"/>
      <c r="E45" s="96"/>
      <c r="F45" s="25"/>
      <c r="G45" s="24"/>
      <c r="H45" s="50"/>
      <c r="J45" s="28"/>
    </row>
    <row r="46" spans="1:10" ht="25" customHeight="1" x14ac:dyDescent="0.35">
      <c r="A46" s="24"/>
      <c r="B46" s="62"/>
      <c r="C46" s="61"/>
      <c r="D46" s="98"/>
      <c r="E46" s="99"/>
      <c r="F46" s="25"/>
      <c r="G46" s="24"/>
      <c r="H46" s="50"/>
      <c r="J46" s="28"/>
    </row>
    <row r="47" spans="1:10" ht="25" customHeight="1" x14ac:dyDescent="0.35">
      <c r="A47" s="24"/>
      <c r="B47" s="62"/>
      <c r="C47" s="100"/>
      <c r="D47" s="98"/>
      <c r="E47" s="99"/>
      <c r="F47" s="25"/>
      <c r="G47" s="24"/>
      <c r="H47" s="50"/>
      <c r="J47" s="28"/>
    </row>
    <row r="48" spans="1:10" s="31" customFormat="1" ht="25" customHeight="1" x14ac:dyDescent="0.35">
      <c r="A48" s="23"/>
      <c r="B48" s="29"/>
      <c r="C48" s="101"/>
      <c r="D48" s="102"/>
      <c r="E48" s="103"/>
      <c r="F48" s="30"/>
      <c r="G48" s="39"/>
      <c r="H48" s="50"/>
    </row>
    <row r="49" spans="1:8" ht="25" customHeight="1" x14ac:dyDescent="0.35">
      <c r="A49" s="15"/>
      <c r="B49" s="15"/>
      <c r="C49" s="15"/>
      <c r="D49" s="15"/>
      <c r="E49" s="15"/>
      <c r="F49" s="49">
        <f>SUM(F20:F48)</f>
        <v>1</v>
      </c>
      <c r="G49" s="63" t="s">
        <v>17</v>
      </c>
      <c r="H49" s="48">
        <f>SUM(H20:H48)</f>
        <v>0</v>
      </c>
    </row>
    <row r="50" spans="1:8" ht="25" customHeight="1" x14ac:dyDescent="0.35">
      <c r="A50" s="15"/>
      <c r="B50" s="15"/>
      <c r="C50" s="15"/>
      <c r="D50" s="15"/>
      <c r="E50" s="15"/>
      <c r="F50" s="32"/>
      <c r="G50" s="63" t="s">
        <v>28</v>
      </c>
      <c r="H50" s="48">
        <f>H49*0.07</f>
        <v>0</v>
      </c>
    </row>
    <row r="51" spans="1:8" ht="25" customHeight="1" x14ac:dyDescent="0.35">
      <c r="A51" s="15"/>
      <c r="B51" s="15"/>
      <c r="C51" s="15"/>
      <c r="D51" s="15"/>
      <c r="E51" s="15"/>
      <c r="F51" s="32"/>
      <c r="G51" s="63" t="s">
        <v>29</v>
      </c>
      <c r="H51" s="48">
        <f>SUM(H49:H50)</f>
        <v>0</v>
      </c>
    </row>
    <row r="52" spans="1:8" ht="25" customHeight="1" x14ac:dyDescent="0.35">
      <c r="A52" s="33"/>
      <c r="B52" s="33"/>
      <c r="C52" s="33"/>
      <c r="D52" s="68" t="s">
        <v>42</v>
      </c>
      <c r="E52" s="15"/>
      <c r="F52" s="34"/>
      <c r="G52" s="80"/>
      <c r="H52" s="80"/>
    </row>
    <row r="53" spans="1:8" ht="25" customHeight="1" x14ac:dyDescent="0.35">
      <c r="A53" s="35"/>
      <c r="B53" s="36"/>
      <c r="C53" s="37"/>
      <c r="D53" s="15" t="s">
        <v>46</v>
      </c>
      <c r="E53" s="15"/>
      <c r="F53" s="34"/>
      <c r="G53" s="38"/>
    </row>
    <row r="54" spans="1:8" x14ac:dyDescent="0.35">
      <c r="A54" s="72" t="s">
        <v>38</v>
      </c>
      <c r="B54" s="73"/>
      <c r="C54" s="73"/>
      <c r="D54" s="15"/>
      <c r="E54" s="15"/>
      <c r="F54" s="15"/>
      <c r="G54" s="15"/>
    </row>
    <row r="55" spans="1:8" x14ac:dyDescent="0.35">
      <c r="A55" s="73"/>
      <c r="B55" s="73"/>
      <c r="C55" s="73"/>
      <c r="D55" s="69"/>
      <c r="E55" s="70"/>
      <c r="F55" s="71"/>
      <c r="G55" s="71"/>
      <c r="H55" s="71"/>
    </row>
    <row r="56" spans="1:8" x14ac:dyDescent="0.35">
      <c r="A56" s="73"/>
      <c r="B56" s="73"/>
      <c r="C56" s="73"/>
      <c r="D56" s="70"/>
      <c r="E56" s="70"/>
      <c r="F56" s="71"/>
      <c r="G56" s="71"/>
      <c r="H56" s="71"/>
    </row>
    <row r="57" spans="1:8" x14ac:dyDescent="0.35">
      <c r="A57" s="73"/>
      <c r="B57" s="73"/>
      <c r="C57" s="73"/>
      <c r="D57" s="70"/>
      <c r="E57" s="70"/>
      <c r="F57" s="71"/>
      <c r="G57" s="71"/>
      <c r="H57" s="71"/>
    </row>
    <row r="58" spans="1:8" x14ac:dyDescent="0.35">
      <c r="A58" s="73"/>
      <c r="B58" s="73"/>
      <c r="C58" s="73"/>
      <c r="D58" s="74" t="s">
        <v>40</v>
      </c>
      <c r="E58" s="74"/>
      <c r="F58" s="84" t="s">
        <v>40</v>
      </c>
      <c r="G58" s="84"/>
      <c r="H58" s="84"/>
    </row>
    <row r="59" spans="1:8" x14ac:dyDescent="0.35">
      <c r="A59" s="73"/>
      <c r="B59" s="73"/>
      <c r="C59" s="73"/>
      <c r="D59" s="70"/>
      <c r="E59" s="70"/>
      <c r="F59" s="85" t="s">
        <v>44</v>
      </c>
      <c r="G59" s="85"/>
      <c r="H59" s="85"/>
    </row>
    <row r="60" spans="1:8" ht="14" x14ac:dyDescent="0.35">
      <c r="A60" s="73"/>
      <c r="B60" s="73"/>
      <c r="C60" s="73"/>
      <c r="D60" s="76" t="s">
        <v>43</v>
      </c>
      <c r="E60" s="76"/>
      <c r="F60" s="86" t="s">
        <v>45</v>
      </c>
      <c r="G60" s="86"/>
      <c r="H60" s="86"/>
    </row>
    <row r="61" spans="1:8" x14ac:dyDescent="0.35">
      <c r="A61" s="73"/>
      <c r="B61" s="73"/>
      <c r="C61" s="73"/>
      <c r="D61" s="75" t="s">
        <v>41</v>
      </c>
      <c r="E61" s="75"/>
      <c r="F61" s="87" t="s">
        <v>47</v>
      </c>
      <c r="G61" s="87"/>
      <c r="H61" s="87"/>
    </row>
    <row r="62" spans="1:8" x14ac:dyDescent="0.35">
      <c r="A62" s="73"/>
      <c r="B62" s="73"/>
      <c r="C62" s="73"/>
      <c r="D62" s="70"/>
      <c r="E62" s="70"/>
      <c r="F62" s="71"/>
      <c r="G62" s="71"/>
      <c r="H62" s="71"/>
    </row>
  </sheetData>
  <mergeCells count="18">
    <mergeCell ref="F58:H58"/>
    <mergeCell ref="F59:H59"/>
    <mergeCell ref="F60:H60"/>
    <mergeCell ref="F61:H61"/>
    <mergeCell ref="G1:H1"/>
    <mergeCell ref="G11:H12"/>
    <mergeCell ref="F16:G16"/>
    <mergeCell ref="G52:H52"/>
    <mergeCell ref="C48:E48"/>
    <mergeCell ref="D17:E17"/>
    <mergeCell ref="F17:G17"/>
    <mergeCell ref="C19:E19"/>
    <mergeCell ref="A54:C62"/>
    <mergeCell ref="D58:E58"/>
    <mergeCell ref="D61:E61"/>
    <mergeCell ref="D60:E60"/>
    <mergeCell ref="B12:D12"/>
    <mergeCell ref="D16:E16"/>
  </mergeCells>
  <dataValidations count="1">
    <dataValidation type="list" allowBlank="1" showInputMessage="1" showErrorMessage="1" sqref="H5:H6" xr:uid="{00000000-0002-0000-0000-000000000000}">
      <formula1>Cus_code</formula1>
    </dataValidation>
  </dataValidations>
  <printOptions horizontalCentered="1" verticalCentered="1"/>
  <pageMargins left="0" right="0" top="0.22" bottom="0" header="0.25" footer="0"/>
  <pageSetup paperSize="9" scale="60" orientation="portrait" r:id="rId1"/>
  <headerFooter scaleWithDoc="0" alignWithMargins="0"/>
  <rowBreaks count="1" manualBreakCount="1">
    <brk id="66" max="8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เวิร์กชีต</vt:lpstr>
      </vt:variant>
      <vt:variant>
        <vt:i4>1</vt:i4>
      </vt:variant>
      <vt:variant>
        <vt:lpstr>ช่วงที่มีชื่อ</vt:lpstr>
      </vt:variant>
      <vt:variant>
        <vt:i4>2</vt:i4>
      </vt:variant>
    </vt:vector>
  </HeadingPairs>
  <TitlesOfParts>
    <vt:vector size="3" baseType="lpstr">
      <vt:lpstr>Sales Quote  (2)</vt:lpstr>
      <vt:lpstr>'Sales Quote  (2)'!Print_Area</vt:lpstr>
      <vt:lpstr>'Sales Quote  (2)'!Print_Titles</vt:lpstr>
    </vt:vector>
  </TitlesOfParts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</dc:creator>
  <cp:lastModifiedBy>Chottanin Amonsintharaphong</cp:lastModifiedBy>
  <cp:lastPrinted>2026-03-03T06:56:09Z</cp:lastPrinted>
  <dcterms:created xsi:type="dcterms:W3CDTF">2006-01-23T19:37:33Z</dcterms:created>
  <dcterms:modified xsi:type="dcterms:W3CDTF">2026-04-01T06:33:08Z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TemplateID">
    <vt:lpwstr>TC101514081033</vt:lpwstr>
  </property>
</Properties>
</file>
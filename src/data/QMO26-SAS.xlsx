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D:\Quotation 2025\"/>
    </mc:Choice>
  </mc:AlternateContent>
  <xr:revisionPtr revIDLastSave="0" documentId="13_ncr:1_{26BF7B47-00E0-4BB2-990E-FE51F83B5AF8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ales Quote  (2)" sheetId="24" r:id="rId1"/>
    <sheet name="Cost Sheet (7)" sheetId="23" r:id="rId2"/>
    <sheet name="Sheet1" sheetId="25" r:id="rId3"/>
  </sheets>
  <externalReferences>
    <externalReference r:id="rId4"/>
  </externalReferences>
  <definedNames>
    <definedName name="address1" localSheetId="1">#REF!</definedName>
    <definedName name="address1" localSheetId="0">#REF!</definedName>
    <definedName name="address1">#REF!</definedName>
    <definedName name="address2" localSheetId="1">#REF!</definedName>
    <definedName name="address2" localSheetId="0">#REF!</definedName>
    <definedName name="address2">#REF!</definedName>
    <definedName name="address3" localSheetId="1">#REF!</definedName>
    <definedName name="address3" localSheetId="0">#REF!</definedName>
    <definedName name="address3">#REF!</definedName>
    <definedName name="Com_name" localSheetId="1">#REF!</definedName>
    <definedName name="Com_name" localSheetId="0">#REF!</definedName>
    <definedName name="Com_name">#REF!</definedName>
    <definedName name="Cus_code" localSheetId="1">#REF!</definedName>
    <definedName name="Cus_code" localSheetId="0">#REF!</definedName>
    <definedName name="Cus_code">#REF!</definedName>
    <definedName name="cus_data" localSheetId="1">#REF!</definedName>
    <definedName name="cus_data" localSheetId="0">#REF!</definedName>
    <definedName name="cus_data">#REF!</definedName>
    <definedName name="cus_name" localSheetId="1">#REF!</definedName>
    <definedName name="cus_name" localSheetId="0">#REF!</definedName>
    <definedName name="cus_name">#REF!</definedName>
    <definedName name="dept" localSheetId="1">#REF!</definedName>
    <definedName name="dept" localSheetId="0">#REF!</definedName>
    <definedName name="dept">#REF!</definedName>
    <definedName name="email" localSheetId="1">#REF!</definedName>
    <definedName name="email" localSheetId="0">#REF!</definedName>
    <definedName name="email">#REF!</definedName>
    <definedName name="fax" localSheetId="1">#REF!</definedName>
    <definedName name="fax" localSheetId="0">#REF!</definedName>
    <definedName name="fax">#REF!</definedName>
    <definedName name="No." localSheetId="1">#REF!</definedName>
    <definedName name="No." localSheetId="0">#REF!</definedName>
    <definedName name="No.">#REF!</definedName>
    <definedName name="_xlnm.Print_Area" localSheetId="1">'Cost Sheet (7)'!$A$1:$O$37</definedName>
    <definedName name="_xlnm.Print_Area" localSheetId="0">'Sales Quote  (2)'!$A$1:$H$65</definedName>
    <definedName name="_xlnm.Print_Titles" localSheetId="1">'Cost Sheet (7)'!$6:$6</definedName>
    <definedName name="_xlnm.Print_Titles" localSheetId="0">'Sales Quote  (2)'!$1:$19</definedName>
    <definedName name="tel" localSheetId="1">#REF!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1" i="24" l="1"/>
  <c r="G19" i="23"/>
  <c r="G32" i="23"/>
  <c r="G35" i="23"/>
  <c r="H35" i="23"/>
  <c r="I35" i="23"/>
  <c r="G34" i="23"/>
  <c r="H34" i="23"/>
  <c r="I34" i="23"/>
  <c r="G33" i="23"/>
  <c r="H33" i="23"/>
  <c r="I33" i="23"/>
  <c r="F32" i="23"/>
  <c r="H32" i="23"/>
  <c r="I32" i="23"/>
  <c r="G31" i="23"/>
  <c r="H31" i="23"/>
  <c r="I31" i="23"/>
  <c r="G28" i="23"/>
  <c r="H28" i="23"/>
  <c r="I28" i="23"/>
  <c r="G13" i="23"/>
  <c r="O26" i="23"/>
  <c r="F27" i="23"/>
  <c r="G27" i="23"/>
  <c r="F28" i="23"/>
  <c r="G21" i="23"/>
  <c r="F29" i="23"/>
  <c r="F30" i="23"/>
  <c r="F31" i="23"/>
  <c r="F33" i="23"/>
  <c r="F34" i="23"/>
  <c r="F35" i="23"/>
  <c r="H27" i="23"/>
  <c r="I27" i="23"/>
  <c r="G12" i="23"/>
  <c r="H20" i="24"/>
  <c r="H51" i="24" s="1"/>
  <c r="H4" i="24"/>
  <c r="G30" i="23"/>
  <c r="H30" i="23"/>
  <c r="I30" i="23"/>
  <c r="G15" i="23"/>
  <c r="H15" i="23"/>
  <c r="K15" i="23"/>
  <c r="N15" i="23"/>
  <c r="O18" i="23"/>
  <c r="O19" i="23"/>
  <c r="O20" i="23"/>
  <c r="O21" i="23"/>
  <c r="H21" i="23"/>
  <c r="K21" i="23"/>
  <c r="B14" i="23"/>
  <c r="B13" i="23"/>
  <c r="B12" i="23"/>
  <c r="G29" i="23"/>
  <c r="H29" i="23"/>
  <c r="I29" i="23"/>
  <c r="G14" i="23"/>
  <c r="B15" i="23"/>
  <c r="O15" i="23"/>
  <c r="O16" i="23"/>
  <c r="O17" i="23"/>
  <c r="B17" i="23"/>
  <c r="B16" i="23"/>
  <c r="G16" i="23"/>
  <c r="H16" i="23"/>
  <c r="K16" i="23"/>
  <c r="N16" i="23"/>
  <c r="L21" i="23"/>
  <c r="N21" i="23"/>
  <c r="L15" i="23"/>
  <c r="H14" i="23"/>
  <c r="L16" i="23"/>
  <c r="H17" i="23"/>
  <c r="K17" i="23"/>
  <c r="O12" i="23"/>
  <c r="N17" i="23"/>
  <c r="L17" i="23"/>
  <c r="H18" i="23"/>
  <c r="K18" i="23"/>
  <c r="H13" i="23"/>
  <c r="O14" i="23"/>
  <c r="L18" i="23"/>
  <c r="N18" i="23"/>
  <c r="G20" i="23"/>
  <c r="H20" i="23"/>
  <c r="K20" i="23"/>
  <c r="H19" i="23"/>
  <c r="K19" i="23"/>
  <c r="K14" i="23"/>
  <c r="N14" i="23"/>
  <c r="N20" i="23"/>
  <c r="L20" i="23"/>
  <c r="N19" i="23"/>
  <c r="L19" i="23"/>
  <c r="L14" i="23"/>
  <c r="K13" i="23"/>
  <c r="O13" i="23"/>
  <c r="O24" i="23"/>
  <c r="A1" i="23"/>
  <c r="J4" i="23"/>
  <c r="I4" i="23"/>
  <c r="M3" i="23"/>
  <c r="J3" i="23"/>
  <c r="I3" i="23"/>
  <c r="D3" i="23"/>
  <c r="M2" i="23"/>
  <c r="L13" i="23"/>
  <c r="N13" i="23"/>
  <c r="M24" i="23"/>
  <c r="H12" i="23"/>
  <c r="K12" i="23"/>
  <c r="L12" i="23"/>
  <c r="N12" i="23"/>
  <c r="N24" i="23"/>
  <c r="D23" i="23"/>
  <c r="O25" i="23"/>
  <c r="O27" i="23"/>
  <c r="O28" i="23"/>
  <c r="O29" i="23"/>
  <c r="H52" i="24" l="1"/>
  <c r="H53" i="24" s="1"/>
  <c r="G54" i="24" s="1"/>
</calcChain>
</file>

<file path=xl/sharedStrings.xml><?xml version="1.0" encoding="utf-8"?>
<sst xmlns="http://schemas.openxmlformats.org/spreadsheetml/2006/main" count="84" uniqueCount="77">
  <si>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</si>
  <si>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</si>
  <si>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</si>
  <si>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</si>
  <si>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</si>
  <si>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</si>
  <si>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</si>
  <si>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</si>
  <si>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</si>
  <si>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</si>
  <si>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</si>
  <si>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</si>
  <si>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</si>
  <si>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</si>
  <si>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</si>
  <si>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</si>
  <si>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</si>
  <si>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Item</t>
  </si>
  <si>
    <t>Item code</t>
  </si>
  <si>
    <t>Description</t>
  </si>
  <si>
    <t>Product Code</t>
  </si>
  <si>
    <t>Supplier</t>
  </si>
  <si>
    <t>Quotation from Supplier No.</t>
  </si>
  <si>
    <t>Cost</t>
  </si>
  <si>
    <t xml:space="preserve">Cost x 0 % </t>
  </si>
  <si>
    <t>Selling Price</t>
  </si>
  <si>
    <t>Expense</t>
  </si>
  <si>
    <t>Gross Profit</t>
  </si>
  <si>
    <t xml:space="preserve">Total </t>
  </si>
  <si>
    <t>Total</t>
  </si>
  <si>
    <t>/ Brand</t>
  </si>
  <si>
    <t>THB</t>
  </si>
  <si>
    <t>OH (THB)</t>
  </si>
  <si>
    <t>Amount</t>
  </si>
  <si>
    <t>%</t>
  </si>
  <si>
    <t>Profit</t>
  </si>
  <si>
    <t>1</t>
  </si>
  <si>
    <t>Net Profit Amount</t>
  </si>
  <si>
    <t>Net Profit  in Percentage</t>
  </si>
  <si>
    <t>Fax (+66) 02-7511953</t>
  </si>
  <si>
    <t>Tel (+66) 02-3164752-55</t>
  </si>
  <si>
    <t xml:space="preserve">101/101 Moo 7, Tambol Bangpleeyai, </t>
  </si>
  <si>
    <t>30 day</t>
  </si>
  <si>
    <t>UNITPRICE</t>
  </si>
  <si>
    <t>2</t>
  </si>
  <si>
    <t>Cost sheet ofAssembly PJ</t>
  </si>
  <si>
    <t>1 USD=</t>
  </si>
  <si>
    <t>-</t>
  </si>
  <si>
    <t>BHT</t>
  </si>
  <si>
    <t>Cost Sheet No. :</t>
  </si>
  <si>
    <t xml:space="preserve">Attached quotation no. </t>
  </si>
  <si>
    <t>Date:</t>
  </si>
  <si>
    <t>Tel :</t>
  </si>
  <si>
    <t>Fax :</t>
  </si>
  <si>
    <t>Email :</t>
  </si>
  <si>
    <t xml:space="preserve">To :     </t>
  </si>
  <si>
    <t>3</t>
  </si>
  <si>
    <t xml:space="preserve">Transportation </t>
  </si>
  <si>
    <t>VAT 7%</t>
  </si>
  <si>
    <t>Total Price</t>
  </si>
  <si>
    <t>4</t>
  </si>
  <si>
    <t>5</t>
  </si>
  <si>
    <t>6</t>
  </si>
  <si>
    <t>Car</t>
  </si>
  <si>
    <t>Code</t>
  </si>
  <si>
    <t>Motor</t>
  </si>
  <si>
    <t>Gear</t>
  </si>
  <si>
    <t>Credit 30 days</t>
  </si>
  <si>
    <t>18 Months</t>
  </si>
  <si>
    <t>Within 30-45 days</t>
  </si>
  <si>
    <t>Com</t>
  </si>
  <si>
    <t>750With brake</t>
  </si>
  <si>
    <t>400With brake</t>
  </si>
  <si>
    <t>200With brake</t>
  </si>
  <si>
    <t>QMO26-SAS-001</t>
  </si>
  <si>
    <t>SAS</t>
  </si>
  <si>
    <t>AC Gear 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</si>
</sst>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_(* #,##0.0_);_(* \(#,##0.0\);_(* &quot;-&quot;??_);_(@_)"/>
    <numFmt numFmtId="169" formatCode="#,##0.0"/>
    <numFmt numFmtId="170" formatCode="[$-409]dd\-mmm\-yy;@"/>
    <numFmt numFmtId="171" formatCode="[$-1070000]d/mm/yyyy;@"/>
  </numFmts>
  <fonts count="66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b/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1"/>
      <color indexed="12"/>
      <name val="Calibri"/>
      <family val="2"/>
      <scheme val="minor"/>
    </font>
    <font>
      <sz val="11"/>
      <color rgb="FFA5002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color indexed="12"/>
      <name val="Calibri"/>
      <family val="2"/>
      <scheme val="minor"/>
    </font>
    <font>
      <sz val="11"/>
      <name val="Silom"/>
      <family val="2"/>
    </font>
    <font>
      <sz val="12"/>
      <color indexed="12"/>
      <name val="Calibri"/>
      <family val="2"/>
      <scheme val="minor"/>
    </font>
    <font>
      <sz val="11"/>
      <name val="Tahoma"/>
      <family val="2"/>
    </font>
    <font>
      <u/>
      <sz val="11"/>
      <color indexed="12"/>
      <name val="Calibri"/>
      <family val="2"/>
      <scheme val="minor"/>
    </font>
    <font>
      <sz val="11"/>
      <color rgb="FF0000CC"/>
      <name val="Calibri"/>
      <family val="2"/>
      <scheme val="minor"/>
    </font>
    <font>
      <sz val="12"/>
      <color rgb="FFA50021"/>
      <name val="Calibri"/>
      <family val="2"/>
      <scheme val="minor"/>
    </font>
    <font>
      <sz val="12"/>
      <color indexed="10"/>
      <name val="Calibri"/>
      <family val="2"/>
      <scheme val="minor"/>
    </font>
    <font>
      <sz val="10"/>
      <name val="Arial"/>
      <family val="2"/>
    </font>
    <font>
      <b/>
      <sz val="12"/>
      <color theme="8" tint="-0.499984740745262"/>
      <name val="Tahoma"/>
      <family val="2"/>
    </font>
    <font>
      <b/>
      <sz val="10"/>
      <color theme="8" tint="-0.499984740745262"/>
      <name val="Tahoma"/>
      <family val="2"/>
    </font>
    <font>
      <sz val="11"/>
      <color rgb="FF7030A0"/>
      <name val="Calibri"/>
      <family val="2"/>
      <scheme val="minor"/>
    </font>
    <font>
      <sz val="10"/>
      <name val="Arial"/>
      <family val="2"/>
    </font>
    <font>
      <sz val="11"/>
      <name val="돋움"/>
      <family val="3"/>
      <charset val="129"/>
    </font>
    <font>
      <sz val="8"/>
      <name val="Arial"/>
      <family val="2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b/>
      <sz val="10"/>
      <color theme="1"/>
      <name val="Trebuchet MS"/>
      <family val="2"/>
    </font>
    <font>
      <sz val="12"/>
      <color theme="1"/>
      <name val="Calibri"/>
      <family val="2"/>
      <scheme val="minor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i/>
      <sz val="10"/>
      <color theme="1"/>
      <name val="Trebuchet MS"/>
      <family val="2"/>
    </font>
    <font>
      <b/>
      <u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A50021"/>
      <name val="Calibri"/>
      <family val="2"/>
      <scheme val="minor"/>
    </font>
    <font>
      <b/>
      <sz val="10"/>
      <name val="Tahoma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u/>
      <sz val="12"/>
      <color theme="1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/>
      <sz val="12"/>
      <color rgb="FF0070C0"/>
      <name val="Tahoma"/>
      <family val="2"/>
    </font>
    <font>
      <b/>
      <sz val="16"/>
      <name val="Calibri"/>
      <family val="2"/>
      <scheme val="minor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i/>
      <u/>
      <sz val="12"/>
      <color rgb="FF0070C0"/>
      <name val="Tahoma"/>
      <family val="2"/>
    </font>
    <font>
      <b/>
      <u/>
      <sz val="12"/>
      <color rgb="FF0070C0"/>
      <name val="Tahoma"/>
      <family val="2"/>
    </font>
    <font>
      <sz val="12"/>
      <color rgb="FF0070C0"/>
      <name val="Tahoma"/>
      <family val="2"/>
    </font>
    <font>
      <b/>
      <u val="doubleAccounting"/>
      <sz val="12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5" fillId="0" borderId="0"/>
    <xf numFmtId="165" fontId="6" fillId="0" borderId="0" applyNumberFormat="0" applyFill="0" applyBorder="0" applyAlignment="0" applyProtection="0">
      <alignment vertical="top"/>
      <protection locked="0"/>
    </xf>
    <xf numFmtId="164" fontId="5" fillId="0" borderId="0" applyFon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7" fillId="0" borderId="0" applyNumberFormat="0" applyFill="0" applyBorder="0" applyAlignment="0" applyProtection="0"/>
    <xf numFmtId="165" fontId="1" fillId="0" borderId="0"/>
    <xf numFmtId="165" fontId="22" fillId="0" borderId="0"/>
    <xf numFmtId="165" fontId="1" fillId="0" borderId="0"/>
    <xf numFmtId="165" fontId="1" fillId="0" borderId="0"/>
    <xf numFmtId="165" fontId="1" fillId="0" borderId="0"/>
    <xf numFmtId="43" fontId="26" fillId="0" borderId="0" applyFont="0" applyFill="0" applyBorder="0" applyAlignment="0" applyProtection="0"/>
    <xf numFmtId="0" fontId="27" fillId="0" borderId="0"/>
    <xf numFmtId="43" fontId="1" fillId="0" borderId="0" applyFont="0" applyFill="0" applyBorder="0" applyAlignment="0" applyProtection="0"/>
    <xf numFmtId="0" fontId="1" fillId="0" borderId="0"/>
    <xf numFmtId="44" fontId="56" fillId="0" borderId="0" applyFont="0" applyFill="0" applyBorder="0" applyAlignment="0" applyProtection="0"/>
  </cellStyleXfs>
  <cellXfs count="237">
    <xf numFmtId="165" fontId="0" fillId="0" borderId="0" xfId="0"/>
    <xf numFmtId="165" fontId="9" fillId="0" borderId="0" xfId="1" applyFont="1" applyAlignment="1">
      <alignment vertical="center"/>
    </xf>
    <xf numFmtId="165" fontId="12" fillId="0" borderId="0" xfId="1" applyFont="1" applyAlignment="1">
      <alignment vertical="center"/>
    </xf>
    <xf numFmtId="165" fontId="13" fillId="0" borderId="0" xfId="1" applyFont="1" applyAlignment="1">
      <alignment vertical="center"/>
    </xf>
    <xf numFmtId="165" fontId="8" fillId="0" borderId="0" xfId="1" applyFont="1" applyAlignment="1">
      <alignment vertical="center"/>
    </xf>
    <xf numFmtId="165" fontId="9" fillId="0" borderId="0" xfId="1" applyFont="1" applyAlignment="1">
      <alignment horizontal="center" vertical="center"/>
    </xf>
    <xf numFmtId="164" fontId="8" fillId="0" borderId="3" xfId="1" quotePrefix="1" applyNumberFormat="1" applyFont="1" applyBorder="1" applyAlignment="1">
      <alignment horizontal="center" vertical="center"/>
    </xf>
    <xf numFmtId="4" fontId="8" fillId="0" borderId="3" xfId="1" applyNumberFormat="1" applyFont="1" applyBorder="1" applyAlignment="1">
      <alignment vertical="center"/>
    </xf>
    <xf numFmtId="49" fontId="8" fillId="0" borderId="2" xfId="1" quotePrefix="1" applyNumberFormat="1" applyFont="1" applyBorder="1" applyAlignment="1">
      <alignment horizontal="center" vertical="center" wrapText="1"/>
    </xf>
    <xf numFmtId="165" fontId="8" fillId="0" borderId="3" xfId="1" quotePrefix="1" applyFont="1" applyBorder="1" applyAlignment="1">
      <alignment horizontal="center" vertical="center" wrapText="1"/>
    </xf>
    <xf numFmtId="165" fontId="12" fillId="0" borderId="0" xfId="4" applyFont="1"/>
    <xf numFmtId="4" fontId="8" fillId="6" borderId="3" xfId="1" applyNumberFormat="1" applyFont="1" applyFill="1" applyBorder="1" applyAlignment="1">
      <alignment horizontal="center" vertical="center"/>
    </xf>
    <xf numFmtId="43" fontId="8" fillId="0" borderId="5" xfId="3" applyFont="1" applyFill="1" applyBorder="1" applyAlignment="1">
      <alignment horizontal="center" vertical="center"/>
    </xf>
    <xf numFmtId="43" fontId="8" fillId="0" borderId="3" xfId="3" applyFont="1" applyFill="1" applyBorder="1" applyAlignment="1">
      <alignment vertical="center"/>
    </xf>
    <xf numFmtId="43" fontId="8" fillId="0" borderId="3" xfId="3" applyFont="1" applyFill="1" applyBorder="1" applyAlignment="1">
      <alignment vertical="center" wrapText="1"/>
    </xf>
    <xf numFmtId="49" fontId="8" fillId="0" borderId="3" xfId="1" applyNumberFormat="1" applyFont="1" applyBorder="1" applyAlignment="1">
      <alignment horizontal="center" vertical="center"/>
    </xf>
    <xf numFmtId="49" fontId="8" fillId="0" borderId="8" xfId="1" applyNumberFormat="1" applyFont="1" applyBorder="1" applyAlignment="1">
      <alignment horizontal="center" vertical="center"/>
    </xf>
    <xf numFmtId="165" fontId="8" fillId="0" borderId="8" xfId="1" applyFont="1" applyBorder="1" applyAlignment="1">
      <alignment horizontal="center" vertical="center"/>
    </xf>
    <xf numFmtId="165" fontId="12" fillId="0" borderId="8" xfId="1" applyFont="1" applyBorder="1" applyAlignment="1">
      <alignment vertical="center"/>
    </xf>
    <xf numFmtId="4" fontId="12" fillId="0" borderId="8" xfId="1" applyNumberFormat="1" applyFont="1" applyBorder="1" applyAlignment="1">
      <alignment horizontal="center" vertical="center"/>
    </xf>
    <xf numFmtId="43" fontId="12" fillId="0" borderId="9" xfId="3" applyFont="1" applyFill="1" applyBorder="1" applyAlignment="1">
      <alignment horizontal="right" vertical="center"/>
    </xf>
    <xf numFmtId="43" fontId="8" fillId="0" borderId="8" xfId="3" applyFont="1" applyFill="1" applyBorder="1" applyAlignment="1">
      <alignment vertical="center"/>
    </xf>
    <xf numFmtId="43" fontId="8" fillId="0" borderId="8" xfId="3" applyFont="1" applyFill="1" applyBorder="1" applyAlignment="1">
      <alignment horizontal="right" vertical="center"/>
    </xf>
    <xf numFmtId="164" fontId="8" fillId="0" borderId="8" xfId="1" quotePrefix="1" applyNumberFormat="1" applyFont="1" applyBorder="1" applyAlignment="1">
      <alignment horizontal="center" vertical="center"/>
    </xf>
    <xf numFmtId="43" fontId="8" fillId="0" borderId="8" xfId="1" applyNumberFormat="1" applyFont="1" applyBorder="1" applyAlignment="1">
      <alignment vertical="center"/>
    </xf>
    <xf numFmtId="168" fontId="8" fillId="0" borderId="8" xfId="1" applyNumberFormat="1" applyFont="1" applyBorder="1" applyAlignment="1">
      <alignment vertical="center"/>
    </xf>
    <xf numFmtId="4" fontId="8" fillId="0" borderId="8" xfId="1" applyNumberFormat="1" applyFont="1" applyBorder="1" applyAlignment="1">
      <alignment horizontal="right" vertical="center"/>
    </xf>
    <xf numFmtId="165" fontId="8" fillId="0" borderId="0" xfId="1" applyFont="1" applyAlignment="1">
      <alignment horizontal="center" vertical="center"/>
    </xf>
    <xf numFmtId="4" fontId="12" fillId="0" borderId="0" xfId="1" applyNumberFormat="1" applyFont="1" applyAlignment="1">
      <alignment horizontal="center" vertical="center"/>
    </xf>
    <xf numFmtId="43" fontId="12" fillId="0" borderId="0" xfId="3" applyFont="1" applyFill="1" applyBorder="1" applyAlignment="1">
      <alignment vertical="center"/>
    </xf>
    <xf numFmtId="43" fontId="11" fillId="0" borderId="0" xfId="3" applyFont="1" applyFill="1" applyBorder="1" applyAlignment="1">
      <alignment vertical="center"/>
    </xf>
    <xf numFmtId="43" fontId="12" fillId="0" borderId="10" xfId="1" applyNumberFormat="1" applyFont="1" applyBorder="1" applyAlignment="1">
      <alignment vertical="center"/>
    </xf>
    <xf numFmtId="43" fontId="12" fillId="0" borderId="11" xfId="1" applyNumberFormat="1" applyFont="1" applyBorder="1" applyAlignment="1">
      <alignment vertical="center"/>
    </xf>
    <xf numFmtId="43" fontId="12" fillId="0" borderId="12" xfId="1" applyNumberFormat="1" applyFont="1" applyBorder="1" applyAlignment="1">
      <alignment vertical="center"/>
    </xf>
    <xf numFmtId="49" fontId="12" fillId="0" borderId="12" xfId="1" applyNumberFormat="1" applyFont="1" applyBorder="1" applyAlignment="1">
      <alignment horizontal="center" vertical="center"/>
    </xf>
    <xf numFmtId="4" fontId="12" fillId="0" borderId="10" xfId="1" applyNumberFormat="1" applyFont="1" applyBorder="1" applyAlignment="1">
      <alignment vertical="center"/>
    </xf>
    <xf numFmtId="43" fontId="12" fillId="0" borderId="7" xfId="1" applyNumberFormat="1" applyFont="1" applyBorder="1" applyAlignment="1">
      <alignment vertical="center"/>
    </xf>
    <xf numFmtId="43" fontId="19" fillId="7" borderId="13" xfId="1" applyNumberFormat="1" applyFont="1" applyFill="1" applyBorder="1" applyAlignment="1">
      <alignment vertical="center"/>
    </xf>
    <xf numFmtId="165" fontId="19" fillId="7" borderId="0" xfId="1" applyFont="1" applyFill="1" applyAlignment="1">
      <alignment vertical="center"/>
    </xf>
    <xf numFmtId="49" fontId="19" fillId="7" borderId="0" xfId="1" applyNumberFormat="1" applyFont="1" applyFill="1" applyAlignment="1">
      <alignment horizontal="center" vertical="center"/>
    </xf>
    <xf numFmtId="4" fontId="19" fillId="7" borderId="7" xfId="1" applyNumberFormat="1" applyFont="1" applyFill="1" applyBorder="1" applyAlignment="1">
      <alignment vertical="center"/>
    </xf>
    <xf numFmtId="43" fontId="14" fillId="0" borderId="7" xfId="1" applyNumberFormat="1" applyFont="1" applyBorder="1" applyAlignment="1">
      <alignment vertical="center"/>
    </xf>
    <xf numFmtId="43" fontId="12" fillId="5" borderId="13" xfId="1" applyNumberFormat="1" applyFont="1" applyFill="1" applyBorder="1" applyAlignment="1">
      <alignment vertical="center"/>
    </xf>
    <xf numFmtId="165" fontId="12" fillId="5" borderId="0" xfId="1" applyFont="1" applyFill="1" applyAlignment="1">
      <alignment vertical="center"/>
    </xf>
    <xf numFmtId="49" fontId="12" fillId="5" borderId="0" xfId="1" applyNumberFormat="1" applyFont="1" applyFill="1" applyAlignment="1">
      <alignment horizontal="center" vertical="center"/>
    </xf>
    <xf numFmtId="4" fontId="12" fillId="5" borderId="7" xfId="1" applyNumberFormat="1" applyFont="1" applyFill="1" applyBorder="1" applyAlignment="1">
      <alignment vertical="center"/>
    </xf>
    <xf numFmtId="43" fontId="12" fillId="0" borderId="13" xfId="1" applyNumberFormat="1" applyFont="1" applyBorder="1" applyAlignment="1">
      <alignment vertical="center"/>
    </xf>
    <xf numFmtId="49" fontId="12" fillId="0" borderId="0" xfId="1" applyNumberFormat="1" applyFont="1" applyAlignment="1">
      <alignment horizontal="center" vertical="center"/>
    </xf>
    <xf numFmtId="4" fontId="12" fillId="0" borderId="7" xfId="1" applyNumberFormat="1" applyFont="1" applyBorder="1" applyAlignment="1">
      <alignment vertical="center"/>
    </xf>
    <xf numFmtId="43" fontId="8" fillId="6" borderId="5" xfId="1" applyNumberFormat="1" applyFont="1" applyFill="1" applyBorder="1" applyAlignment="1">
      <alignment vertical="center"/>
    </xf>
    <xf numFmtId="165" fontId="8" fillId="6" borderId="6" xfId="1" applyFont="1" applyFill="1" applyBorder="1" applyAlignment="1">
      <alignment vertical="center"/>
    </xf>
    <xf numFmtId="49" fontId="8" fillId="6" borderId="6" xfId="1" applyNumberFormat="1" applyFont="1" applyFill="1" applyBorder="1" applyAlignment="1">
      <alignment horizontal="center" vertical="center"/>
    </xf>
    <xf numFmtId="4" fontId="8" fillId="6" borderId="4" xfId="1" applyNumberFormat="1" applyFont="1" applyFill="1" applyBorder="1" applyAlignment="1">
      <alignment vertical="center"/>
    </xf>
    <xf numFmtId="49" fontId="13" fillId="0" borderId="0" xfId="1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43" fontId="13" fillId="0" borderId="0" xfId="3" applyFont="1" applyFill="1" applyBorder="1" applyAlignment="1">
      <alignment vertical="center"/>
    </xf>
    <xf numFmtId="43" fontId="20" fillId="0" borderId="0" xfId="3" applyFont="1" applyFill="1" applyBorder="1" applyAlignment="1">
      <alignment vertical="center"/>
    </xf>
    <xf numFmtId="165" fontId="21" fillId="0" borderId="0" xfId="1" applyFont="1" applyAlignment="1">
      <alignment vertical="center"/>
    </xf>
    <xf numFmtId="165" fontId="16" fillId="0" borderId="0" xfId="1" applyFont="1" applyAlignment="1">
      <alignment horizontal="center" vertical="center"/>
    </xf>
    <xf numFmtId="49" fontId="13" fillId="0" borderId="0" xfId="1" applyNumberFormat="1" applyFont="1" applyAlignment="1">
      <alignment vertical="center"/>
    </xf>
    <xf numFmtId="1" fontId="13" fillId="0" borderId="0" xfId="1" applyNumberFormat="1" applyFont="1" applyAlignment="1">
      <alignment horizontal="center" vertical="center"/>
    </xf>
    <xf numFmtId="165" fontId="10" fillId="0" borderId="0" xfId="1" applyFont="1" applyAlignment="1">
      <alignment vertical="center"/>
    </xf>
    <xf numFmtId="4" fontId="18" fillId="0" borderId="0" xfId="5" applyNumberFormat="1" applyFont="1" applyFill="1" applyBorder="1" applyAlignment="1" applyProtection="1">
      <alignment horizontal="center" vertical="center"/>
    </xf>
    <xf numFmtId="165" fontId="10" fillId="0" borderId="0" xfId="1" quotePrefix="1" applyFont="1" applyAlignment="1">
      <alignment vertical="center"/>
    </xf>
    <xf numFmtId="164" fontId="12" fillId="0" borderId="14" xfId="1" applyNumberFormat="1" applyFont="1" applyBorder="1" applyAlignment="1">
      <alignment vertical="center"/>
    </xf>
    <xf numFmtId="43" fontId="8" fillId="0" borderId="14" xfId="1" applyNumberFormat="1" applyFont="1" applyBorder="1" applyAlignment="1">
      <alignment vertical="center"/>
    </xf>
    <xf numFmtId="3" fontId="12" fillId="0" borderId="14" xfId="1" applyNumberFormat="1" applyFont="1" applyBorder="1" applyAlignment="1">
      <alignment horizontal="center" vertical="center"/>
    </xf>
    <xf numFmtId="165" fontId="12" fillId="0" borderId="14" xfId="1" applyFont="1" applyBorder="1" applyAlignment="1">
      <alignment horizontal="center" vertical="center"/>
    </xf>
    <xf numFmtId="165" fontId="25" fillId="0" borderId="0" xfId="1" applyFont="1" applyAlignment="1">
      <alignment vertical="center"/>
    </xf>
    <xf numFmtId="49" fontId="12" fillId="0" borderId="14" xfId="1" applyNumberFormat="1" applyFont="1" applyBorder="1" applyAlignment="1">
      <alignment horizontal="center" vertical="center"/>
    </xf>
    <xf numFmtId="4" fontId="8" fillId="0" borderId="14" xfId="1" applyNumberFormat="1" applyFont="1" applyBorder="1" applyAlignment="1">
      <alignment vertical="center"/>
    </xf>
    <xf numFmtId="43" fontId="8" fillId="3" borderId="14" xfId="3" applyFont="1" applyFill="1" applyBorder="1" applyAlignment="1">
      <alignment horizontal="center" vertical="center"/>
    </xf>
    <xf numFmtId="49" fontId="8" fillId="3" borderId="14" xfId="1" applyNumberFormat="1" applyFont="1" applyFill="1" applyBorder="1" applyAlignment="1">
      <alignment horizontal="center" vertical="center"/>
    </xf>
    <xf numFmtId="165" fontId="8" fillId="3" borderId="14" xfId="1" applyFont="1" applyFill="1" applyBorder="1" applyAlignment="1">
      <alignment vertical="center"/>
    </xf>
    <xf numFmtId="49" fontId="12" fillId="4" borderId="14" xfId="1" quotePrefix="1" applyNumberFormat="1" applyFont="1" applyFill="1" applyBorder="1" applyAlignment="1">
      <alignment horizontal="center" vertical="center"/>
    </xf>
    <xf numFmtId="165" fontId="12" fillId="4" borderId="14" xfId="1" quotePrefix="1" applyFont="1" applyFill="1" applyBorder="1" applyAlignment="1">
      <alignment horizontal="center" vertical="center"/>
    </xf>
    <xf numFmtId="0" fontId="15" fillId="4" borderId="14" xfId="4" applyNumberFormat="1" applyFont="1" applyFill="1" applyBorder="1" applyAlignment="1">
      <alignment horizontal="left"/>
    </xf>
    <xf numFmtId="165" fontId="12" fillId="4" borderId="14" xfId="1" applyFont="1" applyFill="1" applyBorder="1" applyAlignment="1">
      <alignment horizontal="center" vertical="center"/>
    </xf>
    <xf numFmtId="164" fontId="12" fillId="4" borderId="14" xfId="1" applyNumberFormat="1" applyFont="1" applyFill="1" applyBorder="1" applyAlignment="1">
      <alignment vertical="center"/>
    </xf>
    <xf numFmtId="43" fontId="8" fillId="4" borderId="14" xfId="1" applyNumberFormat="1" applyFont="1" applyFill="1" applyBorder="1" applyAlignment="1">
      <alignment vertical="center"/>
    </xf>
    <xf numFmtId="43" fontId="8" fillId="4" borderId="14" xfId="1" applyNumberFormat="1" applyFont="1" applyFill="1" applyBorder="1" applyAlignment="1">
      <alignment horizontal="center" vertical="center"/>
    </xf>
    <xf numFmtId="164" fontId="8" fillId="4" borderId="14" xfId="1" quotePrefix="1" applyNumberFormat="1" applyFont="1" applyFill="1" applyBorder="1" applyAlignment="1">
      <alignment horizontal="center" vertical="center"/>
    </xf>
    <xf numFmtId="4" fontId="8" fillId="4" borderId="14" xfId="1" applyNumberFormat="1" applyFont="1" applyFill="1" applyBorder="1" applyAlignment="1">
      <alignment vertical="center"/>
    </xf>
    <xf numFmtId="49" fontId="12" fillId="4" borderId="14" xfId="1" applyNumberFormat="1" applyFont="1" applyFill="1" applyBorder="1" applyAlignment="1">
      <alignment horizontal="center" vertical="center"/>
    </xf>
    <xf numFmtId="49" fontId="12" fillId="0" borderId="14" xfId="1" quotePrefix="1" applyNumberFormat="1" applyFont="1" applyBorder="1" applyAlignment="1">
      <alignment horizontal="center" vertical="center"/>
    </xf>
    <xf numFmtId="43" fontId="8" fillId="0" borderId="14" xfId="1" applyNumberFormat="1" applyFont="1" applyBorder="1" applyAlignment="1">
      <alignment horizontal="center" vertical="center"/>
    </xf>
    <xf numFmtId="164" fontId="8" fillId="0" borderId="14" xfId="1" quotePrefix="1" applyNumberFormat="1" applyFont="1" applyBorder="1" applyAlignment="1">
      <alignment horizontal="center" vertical="center"/>
    </xf>
    <xf numFmtId="3" fontId="2" fillId="0" borderId="14" xfId="0" applyNumberFormat="1" applyFont="1" applyBorder="1" applyAlignment="1">
      <alignment horizontal="center" vertical="center"/>
    </xf>
    <xf numFmtId="1" fontId="2" fillId="0" borderId="14" xfId="1" applyNumberFormat="1" applyFont="1" applyBorder="1" applyAlignment="1">
      <alignment horizontal="center" vertical="center"/>
    </xf>
    <xf numFmtId="165" fontId="23" fillId="0" borderId="14" xfId="1" applyFont="1" applyBorder="1" applyAlignment="1">
      <alignment vertical="center"/>
    </xf>
    <xf numFmtId="165" fontId="2" fillId="0" borderId="14" xfId="0" applyFont="1" applyBorder="1" applyAlignment="1">
      <alignment horizontal="left" vertical="center" wrapText="1" shrinkToFit="1"/>
    </xf>
    <xf numFmtId="165" fontId="23" fillId="0" borderId="14" xfId="0" applyFont="1" applyBorder="1" applyAlignment="1">
      <alignment horizontal="left" vertical="center" wrapText="1" shrinkToFit="1"/>
    </xf>
    <xf numFmtId="165" fontId="24" fillId="0" borderId="14" xfId="0" applyFont="1" applyBorder="1" applyAlignment="1">
      <alignment horizontal="left" vertical="center" wrapText="1" shrinkToFit="1"/>
    </xf>
    <xf numFmtId="0" fontId="12" fillId="4" borderId="14" xfId="4" applyNumberFormat="1" applyFont="1" applyFill="1" applyBorder="1" applyAlignment="1">
      <alignment horizontal="left"/>
    </xf>
    <xf numFmtId="0" fontId="2" fillId="5" borderId="1" xfId="1" applyNumberFormat="1" applyFont="1" applyFill="1" applyBorder="1" applyAlignment="1">
      <alignment horizontal="center" vertical="center"/>
    </xf>
    <xf numFmtId="164" fontId="17" fillId="0" borderId="14" xfId="1" applyNumberFormat="1" applyFont="1" applyBorder="1" applyAlignment="1">
      <alignment vertical="center"/>
    </xf>
    <xf numFmtId="49" fontId="12" fillId="0" borderId="19" xfId="1" applyNumberFormat="1" applyFont="1" applyBorder="1" applyAlignment="1">
      <alignment horizontal="center" vertical="center"/>
    </xf>
    <xf numFmtId="165" fontId="8" fillId="3" borderId="14" xfId="1" applyFont="1" applyFill="1" applyBorder="1" applyAlignment="1">
      <alignment horizontal="center" vertical="center" wrapText="1"/>
    </xf>
    <xf numFmtId="165" fontId="8" fillId="3" borderId="14" xfId="1" applyFont="1" applyFill="1" applyBorder="1" applyAlignment="1">
      <alignment horizontal="center" vertical="center"/>
    </xf>
    <xf numFmtId="165" fontId="30" fillId="0" borderId="0" xfId="0" applyFont="1"/>
    <xf numFmtId="165" fontId="29" fillId="0" borderId="0" xfId="0" applyFont="1"/>
    <xf numFmtId="165" fontId="31" fillId="0" borderId="0" xfId="0" applyFont="1"/>
    <xf numFmtId="165" fontId="32" fillId="0" borderId="0" xfId="0" applyFont="1"/>
    <xf numFmtId="165" fontId="32" fillId="0" borderId="0" xfId="0" applyFont="1" applyAlignment="1">
      <alignment horizontal="left" indent="1"/>
    </xf>
    <xf numFmtId="165" fontId="33" fillId="0" borderId="0" xfId="0" applyFont="1"/>
    <xf numFmtId="165" fontId="32" fillId="0" borderId="0" xfId="0" applyFont="1" applyAlignment="1">
      <alignment horizontal="right"/>
    </xf>
    <xf numFmtId="165" fontId="34" fillId="0" borderId="0" xfId="0" applyFont="1" applyAlignment="1">
      <alignment horizontal="right"/>
    </xf>
    <xf numFmtId="49" fontId="32" fillId="0" borderId="0" xfId="0" applyNumberFormat="1" applyFont="1"/>
    <xf numFmtId="165" fontId="32" fillId="0" borderId="0" xfId="0" applyFont="1" applyAlignment="1">
      <alignment horizontal="left"/>
    </xf>
    <xf numFmtId="165" fontId="32" fillId="0" borderId="0" xfId="2" applyFont="1" applyAlignment="1">
      <alignment horizontal="left"/>
    </xf>
    <xf numFmtId="165" fontId="36" fillId="0" borderId="0" xfId="0" applyFont="1" applyAlignment="1">
      <alignment horizontal="left"/>
    </xf>
    <xf numFmtId="165" fontId="36" fillId="0" borderId="0" xfId="0" applyFont="1"/>
    <xf numFmtId="165" fontId="36" fillId="0" borderId="0" xfId="0" applyFont="1" applyAlignment="1">
      <alignment horizontal="left" indent="1"/>
    </xf>
    <xf numFmtId="165" fontId="37" fillId="0" borderId="0" xfId="0" applyFont="1"/>
    <xf numFmtId="165" fontId="31" fillId="0" borderId="0" xfId="0" applyFont="1" applyAlignment="1">
      <alignment wrapText="1"/>
    </xf>
    <xf numFmtId="165" fontId="31" fillId="0" borderId="0" xfId="0" applyFont="1" applyAlignment="1">
      <alignment horizontal="center"/>
    </xf>
    <xf numFmtId="165" fontId="36" fillId="0" borderId="16" xfId="0" applyFont="1" applyBorder="1" applyAlignment="1">
      <alignment horizontal="center"/>
    </xf>
    <xf numFmtId="165" fontId="36" fillId="0" borderId="17" xfId="0" applyFont="1" applyBorder="1" applyAlignment="1">
      <alignment horizontal="center"/>
    </xf>
    <xf numFmtId="166" fontId="36" fillId="0" borderId="17" xfId="0" applyNumberFormat="1" applyFont="1" applyBorder="1" applyAlignment="1">
      <alignment horizontal="center"/>
    </xf>
    <xf numFmtId="165" fontId="36" fillId="0" borderId="17" xfId="0" applyFont="1" applyBorder="1" applyAlignment="1">
      <alignment horizontal="center" wrapText="1"/>
    </xf>
    <xf numFmtId="165" fontId="31" fillId="0" borderId="17" xfId="0" applyFont="1" applyBorder="1" applyAlignment="1">
      <alignment horizontal="center"/>
    </xf>
    <xf numFmtId="1" fontId="36" fillId="0" borderId="15" xfId="0" applyNumberFormat="1" applyFont="1" applyBorder="1" applyAlignment="1">
      <alignment horizontal="center" vertical="center"/>
    </xf>
    <xf numFmtId="0" fontId="36" fillId="0" borderId="15" xfId="0" applyNumberFormat="1" applyFont="1" applyBorder="1" applyAlignment="1">
      <alignment horizontal="center" vertical="center"/>
    </xf>
    <xf numFmtId="3" fontId="36" fillId="0" borderId="15" xfId="0" applyNumberFormat="1" applyFont="1" applyBorder="1" applyAlignment="1">
      <alignment horizontal="center" vertical="center"/>
    </xf>
    <xf numFmtId="1" fontId="31" fillId="0" borderId="0" xfId="0" applyNumberFormat="1" applyFont="1" applyAlignment="1">
      <alignment horizontal="center" vertical="center"/>
    </xf>
    <xf numFmtId="165" fontId="31" fillId="0" borderId="0" xfId="0" applyFont="1" applyAlignment="1">
      <alignment vertical="center"/>
    </xf>
    <xf numFmtId="3" fontId="38" fillId="0" borderId="0" xfId="0" applyNumberFormat="1" applyFont="1" applyAlignment="1">
      <alignment horizontal="center" vertical="center"/>
    </xf>
    <xf numFmtId="165" fontId="39" fillId="0" borderId="0" xfId="0" applyFont="1"/>
    <xf numFmtId="165" fontId="32" fillId="0" borderId="15" xfId="0" applyFont="1" applyBorder="1" applyAlignment="1">
      <alignment horizontal="center" vertical="center"/>
    </xf>
    <xf numFmtId="165" fontId="36" fillId="0" borderId="15" xfId="0" applyFont="1" applyBorder="1" applyAlignment="1">
      <alignment horizontal="left" vertical="center"/>
    </xf>
    <xf numFmtId="3" fontId="40" fillId="0" borderId="15" xfId="0" applyNumberFormat="1" applyFont="1" applyBorder="1" applyAlignment="1">
      <alignment horizontal="center" vertical="center"/>
    </xf>
    <xf numFmtId="165" fontId="41" fillId="0" borderId="0" xfId="0" applyFont="1"/>
    <xf numFmtId="165" fontId="42" fillId="0" borderId="0" xfId="0" applyFont="1"/>
    <xf numFmtId="165" fontId="33" fillId="2" borderId="0" xfId="0" applyFont="1" applyFill="1" applyAlignment="1">
      <alignment vertical="center"/>
    </xf>
    <xf numFmtId="165" fontId="33" fillId="0" borderId="0" xfId="0" applyFont="1" applyAlignment="1">
      <alignment horizontal="right"/>
    </xf>
    <xf numFmtId="165" fontId="43" fillId="2" borderId="0" xfId="0" applyFont="1" applyFill="1"/>
    <xf numFmtId="167" fontId="37" fillId="2" borderId="0" xfId="0" applyNumberFormat="1" applyFont="1" applyFill="1"/>
    <xf numFmtId="165" fontId="37" fillId="2" borderId="0" xfId="0" applyFont="1" applyFill="1"/>
    <xf numFmtId="44" fontId="44" fillId="2" borderId="0" xfId="0" applyNumberFormat="1" applyFont="1" applyFill="1"/>
    <xf numFmtId="165" fontId="39" fillId="0" borderId="0" xfId="0" applyFont="1" applyAlignment="1">
      <alignment horizontal="center"/>
    </xf>
    <xf numFmtId="165" fontId="45" fillId="0" borderId="0" xfId="0" applyFont="1" applyAlignment="1">
      <alignment horizontal="center"/>
    </xf>
    <xf numFmtId="169" fontId="2" fillId="0" borderId="14" xfId="0" applyNumberFormat="1" applyFont="1" applyBorder="1" applyAlignment="1">
      <alignment horizontal="center" vertical="center"/>
    </xf>
    <xf numFmtId="165" fontId="9" fillId="0" borderId="0" xfId="103" applyFont="1" applyAlignment="1">
      <alignment vertical="center"/>
    </xf>
    <xf numFmtId="165" fontId="8" fillId="0" borderId="0" xfId="103" applyFont="1" applyAlignment="1">
      <alignment horizontal="center" vertical="center"/>
    </xf>
    <xf numFmtId="165" fontId="47" fillId="0" borderId="0" xfId="4" applyFont="1"/>
    <xf numFmtId="43" fontId="10" fillId="0" borderId="0" xfId="110" applyFont="1" applyFill="1" applyBorder="1" applyAlignment="1">
      <alignment horizontal="center" vertical="center"/>
    </xf>
    <xf numFmtId="43" fontId="11" fillId="0" borderId="0" xfId="110" applyFont="1" applyFill="1" applyBorder="1" applyAlignment="1">
      <alignment horizontal="center" vertical="center"/>
    </xf>
    <xf numFmtId="165" fontId="12" fillId="0" borderId="0" xfId="103" applyFont="1" applyAlignment="1">
      <alignment horizontal="center" vertical="center"/>
    </xf>
    <xf numFmtId="165" fontId="12" fillId="0" borderId="0" xfId="103" applyFont="1" applyAlignment="1">
      <alignment horizontal="right" vertical="center"/>
    </xf>
    <xf numFmtId="166" fontId="48" fillId="0" borderId="0" xfId="103" applyNumberFormat="1" applyFont="1" applyAlignment="1">
      <alignment horizontal="left" vertical="center"/>
    </xf>
    <xf numFmtId="165" fontId="12" fillId="0" borderId="0" xfId="103" applyFont="1" applyAlignment="1">
      <alignment vertical="center"/>
    </xf>
    <xf numFmtId="165" fontId="13" fillId="0" borderId="0" xfId="103" applyFont="1" applyAlignment="1">
      <alignment vertical="center"/>
    </xf>
    <xf numFmtId="1" fontId="48" fillId="0" borderId="0" xfId="103" applyNumberFormat="1" applyFont="1" applyAlignment="1">
      <alignment horizontal="left" vertical="center"/>
    </xf>
    <xf numFmtId="43" fontId="14" fillId="0" borderId="0" xfId="110" applyFont="1" applyFill="1" applyBorder="1" applyAlignment="1">
      <alignment vertical="center"/>
    </xf>
    <xf numFmtId="43" fontId="49" fillId="0" borderId="0" xfId="110" applyFont="1" applyFill="1" applyBorder="1" applyAlignment="1">
      <alignment vertical="center"/>
    </xf>
    <xf numFmtId="43" fontId="8" fillId="0" borderId="0" xfId="110" applyFont="1" applyFill="1" applyBorder="1" applyAlignment="1">
      <alignment horizontal="center" vertical="center"/>
    </xf>
    <xf numFmtId="2" fontId="8" fillId="0" borderId="0" xfId="103" applyNumberFormat="1" applyFont="1" applyAlignment="1">
      <alignment vertical="center"/>
    </xf>
    <xf numFmtId="165" fontId="8" fillId="0" borderId="0" xfId="103" applyFont="1" applyAlignment="1">
      <alignment vertical="center"/>
    </xf>
    <xf numFmtId="43" fontId="8" fillId="0" borderId="0" xfId="110" applyFont="1" applyFill="1" applyBorder="1" applyAlignment="1">
      <alignment horizontal="right" vertical="center"/>
    </xf>
    <xf numFmtId="170" fontId="14" fillId="0" borderId="0" xfId="103" applyNumberFormat="1" applyFont="1" applyAlignment="1">
      <alignment vertical="center"/>
    </xf>
    <xf numFmtId="1" fontId="48" fillId="0" borderId="0" xfId="103" applyNumberFormat="1" applyFont="1" applyAlignment="1">
      <alignment horizontal="center" vertical="center"/>
    </xf>
    <xf numFmtId="49" fontId="14" fillId="0" borderId="0" xfId="103" applyNumberFormat="1" applyFont="1" applyAlignment="1">
      <alignment horizontal="left" vertical="center"/>
    </xf>
    <xf numFmtId="170" fontId="14" fillId="0" borderId="0" xfId="103" applyNumberFormat="1" applyFont="1" applyAlignment="1">
      <alignment horizontal="left" vertical="center"/>
    </xf>
    <xf numFmtId="165" fontId="36" fillId="0" borderId="16" xfId="0" applyFont="1" applyBorder="1" applyAlignment="1">
      <alignment horizontal="left" vertical="center"/>
    </xf>
    <xf numFmtId="165" fontId="36" fillId="0" borderId="17" xfId="0" applyFont="1" applyBorder="1" applyAlignment="1">
      <alignment horizontal="left" vertical="center"/>
    </xf>
    <xf numFmtId="165" fontId="36" fillId="0" borderId="18" xfId="0" applyFont="1" applyBorder="1" applyAlignment="1">
      <alignment horizontal="left" vertical="center"/>
    </xf>
    <xf numFmtId="165" fontId="51" fillId="0" borderId="15" xfId="0" applyFont="1" applyBorder="1" applyAlignment="1">
      <alignment horizontal="center" vertical="center"/>
    </xf>
    <xf numFmtId="0" fontId="51" fillId="0" borderId="15" xfId="0" applyNumberFormat="1" applyFont="1" applyBorder="1" applyAlignment="1">
      <alignment horizontal="center" vertical="center"/>
    </xf>
    <xf numFmtId="165" fontId="36" fillId="0" borderId="15" xfId="0" applyFont="1" applyBorder="1" applyAlignment="1">
      <alignment horizontal="center" vertical="center"/>
    </xf>
    <xf numFmtId="0" fontId="36" fillId="0" borderId="16" xfId="0" applyNumberFormat="1" applyFont="1" applyBorder="1" applyAlignment="1">
      <alignment horizontal="center" vertical="center"/>
    </xf>
    <xf numFmtId="165" fontId="12" fillId="0" borderId="22" xfId="1" quotePrefix="1" applyFont="1" applyBorder="1" applyAlignment="1">
      <alignment horizontal="center" vertical="center"/>
    </xf>
    <xf numFmtId="0" fontId="2" fillId="5" borderId="20" xfId="1" applyNumberFormat="1" applyFont="1" applyFill="1" applyBorder="1" applyAlignment="1">
      <alignment horizontal="center" vertical="center"/>
    </xf>
    <xf numFmtId="165" fontId="2" fillId="5" borderId="19" xfId="1" applyFont="1" applyFill="1" applyBorder="1" applyAlignment="1">
      <alignment vertical="center"/>
    </xf>
    <xf numFmtId="165" fontId="2" fillId="0" borderId="19" xfId="0" applyFont="1" applyBorder="1" applyAlignment="1">
      <alignment horizontal="left" vertical="center" wrapText="1" shrinkToFit="1"/>
    </xf>
    <xf numFmtId="165" fontId="23" fillId="0" borderId="19" xfId="0" applyFont="1" applyBorder="1" applyAlignment="1">
      <alignment horizontal="left" vertical="center" wrapText="1" shrinkToFit="1"/>
    </xf>
    <xf numFmtId="165" fontId="24" fillId="0" borderId="19" xfId="0" applyFont="1" applyBorder="1" applyAlignment="1">
      <alignment horizontal="left" vertical="center" wrapText="1" shrinkToFit="1"/>
    </xf>
    <xf numFmtId="49" fontId="36" fillId="0" borderId="0" xfId="0" applyNumberFormat="1" applyFont="1" applyAlignment="1">
      <alignment vertical="center"/>
    </xf>
    <xf numFmtId="165" fontId="52" fillId="0" borderId="0" xfId="0" applyFont="1" applyAlignment="1">
      <alignment horizontal="left" vertical="center" wrapText="1"/>
    </xf>
    <xf numFmtId="165" fontId="34" fillId="0" borderId="0" xfId="0" quotePrefix="1" applyFont="1" applyAlignment="1">
      <alignment vertical="center"/>
    </xf>
    <xf numFmtId="165" fontId="32" fillId="0" borderId="0" xfId="0" applyFont="1" applyAlignment="1">
      <alignment wrapText="1"/>
    </xf>
    <xf numFmtId="171" fontId="32" fillId="0" borderId="0" xfId="0" applyNumberFormat="1" applyFont="1" applyAlignment="1">
      <alignment horizontal="left"/>
    </xf>
    <xf numFmtId="165" fontId="32" fillId="0" borderId="0" xfId="0" quotePrefix="1" applyFont="1"/>
    <xf numFmtId="43" fontId="36" fillId="0" borderId="21" xfId="108" applyFont="1" applyBorder="1" applyAlignment="1">
      <alignment horizontal="center" vertical="center"/>
    </xf>
    <xf numFmtId="1" fontId="54" fillId="0" borderId="0" xfId="0" applyNumberFormat="1" applyFont="1" applyAlignment="1">
      <alignment horizontal="center" vertical="center"/>
    </xf>
    <xf numFmtId="165" fontId="55" fillId="0" borderId="17" xfId="0" applyFont="1" applyBorder="1" applyAlignment="1">
      <alignment horizontal="left" vertical="center"/>
    </xf>
    <xf numFmtId="165" fontId="55" fillId="0" borderId="18" xfId="0" applyFont="1" applyBorder="1" applyAlignment="1">
      <alignment horizontal="left" vertical="center"/>
    </xf>
    <xf numFmtId="43" fontId="36" fillId="0" borderId="15" xfId="112" applyNumberFormat="1" applyFont="1" applyBorder="1" applyAlignment="1">
      <alignment horizontal="center" vertical="center"/>
    </xf>
    <xf numFmtId="165" fontId="23" fillId="0" borderId="19" xfId="1" applyFont="1" applyBorder="1" applyAlignment="1">
      <alignment vertical="center"/>
    </xf>
    <xf numFmtId="169" fontId="2" fillId="0" borderId="19" xfId="0" applyNumberFormat="1" applyFont="1" applyBorder="1" applyAlignment="1">
      <alignment horizontal="center" vertical="center"/>
    </xf>
    <xf numFmtId="164" fontId="8" fillId="0" borderId="19" xfId="1" quotePrefix="1" applyNumberFormat="1" applyFont="1" applyBorder="1" applyAlignment="1">
      <alignment horizontal="center" vertical="center"/>
    </xf>
    <xf numFmtId="3" fontId="2" fillId="0" borderId="19" xfId="0" applyNumberFormat="1" applyFont="1" applyBorder="1" applyAlignment="1">
      <alignment horizontal="center" vertical="center"/>
    </xf>
    <xf numFmtId="165" fontId="36" fillId="0" borderId="17" xfId="0" applyFont="1" applyBorder="1" applyAlignment="1">
      <alignment horizontal="left" vertical="center" wrapText="1"/>
    </xf>
    <xf numFmtId="165" fontId="36" fillId="0" borderId="18" xfId="0" applyFont="1" applyBorder="1" applyAlignment="1">
      <alignment horizontal="left" vertical="center" wrapText="1"/>
    </xf>
    <xf numFmtId="1" fontId="36" fillId="0" borderId="23" xfId="0" applyNumberFormat="1" applyFont="1" applyBorder="1" applyAlignment="1">
      <alignment horizontal="center" vertical="center"/>
    </xf>
    <xf numFmtId="0" fontId="57" fillId="0" borderId="15" xfId="0" applyNumberFormat="1" applyFont="1" applyBorder="1" applyAlignment="1">
      <alignment horizontal="center" vertical="center"/>
    </xf>
    <xf numFmtId="165" fontId="58" fillId="0" borderId="16" xfId="0" applyFont="1" applyBorder="1" applyAlignment="1">
      <alignment horizontal="left" vertical="center"/>
    </xf>
    <xf numFmtId="165" fontId="52" fillId="0" borderId="0" xfId="0" quotePrefix="1" applyFont="1" applyAlignment="1">
      <alignment vertical="center"/>
    </xf>
    <xf numFmtId="166" fontId="32" fillId="8" borderId="15" xfId="0" applyNumberFormat="1" applyFont="1" applyFill="1" applyBorder="1" applyAlignment="1">
      <alignment horizontal="center" vertical="center"/>
    </xf>
    <xf numFmtId="165" fontId="32" fillId="8" borderId="15" xfId="0" applyFont="1" applyFill="1" applyBorder="1" applyAlignment="1">
      <alignment horizontal="center" vertical="center"/>
    </xf>
    <xf numFmtId="165" fontId="35" fillId="8" borderId="15" xfId="0" applyFont="1" applyFill="1" applyBorder="1" applyAlignment="1">
      <alignment horizontal="center" vertical="center" wrapText="1"/>
    </xf>
    <xf numFmtId="165" fontId="35" fillId="8" borderId="15" xfId="0" applyFont="1" applyFill="1" applyBorder="1" applyAlignment="1">
      <alignment horizontal="center" vertical="center"/>
    </xf>
    <xf numFmtId="43" fontId="59" fillId="0" borderId="0" xfId="3" applyFont="1" applyFill="1" applyBorder="1" applyAlignment="1">
      <alignment horizontal="center" vertical="center" wrapText="1"/>
    </xf>
    <xf numFmtId="44" fontId="38" fillId="0" borderId="0" xfId="112" applyFont="1" applyAlignment="1">
      <alignment horizontal="center" vertical="center"/>
    </xf>
    <xf numFmtId="43" fontId="60" fillId="0" borderId="15" xfId="0" applyNumberFormat="1" applyFont="1" applyBorder="1" applyAlignment="1">
      <alignment horizontal="center" vertical="center"/>
    </xf>
    <xf numFmtId="43" fontId="36" fillId="0" borderId="15" xfId="0" applyNumberFormat="1" applyFont="1" applyBorder="1" applyAlignment="1">
      <alignment horizontal="center" vertical="center"/>
    </xf>
    <xf numFmtId="165" fontId="62" fillId="0" borderId="16" xfId="0" applyFont="1" applyBorder="1" applyAlignment="1">
      <alignment horizontal="left" vertical="center"/>
    </xf>
    <xf numFmtId="165" fontId="2" fillId="0" borderId="16" xfId="0" applyFont="1" applyBorder="1" applyAlignment="1">
      <alignment horizontal="left" vertical="center"/>
    </xf>
    <xf numFmtId="0" fontId="63" fillId="0" borderId="15" xfId="0" applyNumberFormat="1" applyFont="1" applyBorder="1" applyAlignment="1">
      <alignment horizontal="center" vertical="center"/>
    </xf>
    <xf numFmtId="165" fontId="64" fillId="0" borderId="16" xfId="0" applyFont="1" applyBorder="1" applyAlignment="1">
      <alignment horizontal="left" vertical="center"/>
    </xf>
    <xf numFmtId="43" fontId="65" fillId="0" borderId="15" xfId="112" applyNumberFormat="1" applyFont="1" applyBorder="1" applyAlignment="1">
      <alignment horizontal="center" vertical="center"/>
    </xf>
    <xf numFmtId="165" fontId="57" fillId="0" borderId="16" xfId="0" applyFont="1" applyBorder="1" applyAlignment="1">
      <alignment horizontal="left" vertical="center"/>
    </xf>
    <xf numFmtId="165" fontId="63" fillId="0" borderId="16" xfId="0" applyFont="1" applyBorder="1" applyAlignment="1">
      <alignment horizontal="left" vertical="center"/>
    </xf>
    <xf numFmtId="165" fontId="51" fillId="0" borderId="17" xfId="0" applyFont="1" applyBorder="1" applyAlignment="1">
      <alignment horizontal="left" vertical="center"/>
    </xf>
    <xf numFmtId="165" fontId="51" fillId="0" borderId="18" xfId="0" applyFont="1" applyBorder="1" applyAlignment="1">
      <alignment horizontal="left" vertical="center"/>
    </xf>
    <xf numFmtId="165" fontId="63" fillId="0" borderId="17" xfId="0" applyFont="1" applyBorder="1" applyAlignment="1">
      <alignment horizontal="left" vertical="center"/>
    </xf>
    <xf numFmtId="165" fontId="63" fillId="0" borderId="18" xfId="0" applyFont="1" applyBorder="1" applyAlignment="1">
      <alignment horizontal="left" vertical="center"/>
    </xf>
    <xf numFmtId="165" fontId="36" fillId="0" borderId="0" xfId="0" applyFont="1" applyAlignment="1">
      <alignment horizontal="left" vertical="center" wrapText="1"/>
    </xf>
    <xf numFmtId="1" fontId="34" fillId="0" borderId="0" xfId="0" applyNumberFormat="1" applyFont="1" applyAlignment="1">
      <alignment horizontal="left"/>
    </xf>
    <xf numFmtId="165" fontId="61" fillId="0" borderId="0" xfId="2" applyFont="1" applyAlignment="1">
      <alignment horizontal="left"/>
    </xf>
    <xf numFmtId="165" fontId="17" fillId="0" borderId="0" xfId="0" applyFont="1" applyAlignment="1">
      <alignment horizontal="left"/>
    </xf>
    <xf numFmtId="165" fontId="35" fillId="8" borderId="15" xfId="0" applyFont="1" applyFill="1" applyBorder="1" applyAlignment="1">
      <alignment horizontal="center" vertical="center" wrapText="1"/>
    </xf>
    <xf numFmtId="165" fontId="35" fillId="8" borderId="15" xfId="0" applyFont="1" applyFill="1" applyBorder="1" applyAlignment="1">
      <alignment horizontal="center" vertical="center"/>
    </xf>
    <xf numFmtId="1" fontId="36" fillId="0" borderId="0" xfId="0" applyNumberFormat="1" applyFont="1" applyAlignment="1">
      <alignment horizontal="left"/>
    </xf>
    <xf numFmtId="44" fontId="53" fillId="2" borderId="0" xfId="0" applyNumberFormat="1" applyFont="1" applyFill="1" applyAlignment="1">
      <alignment horizontal="right" vertical="center"/>
    </xf>
    <xf numFmtId="165" fontId="63" fillId="0" borderId="16" xfId="0" applyFont="1" applyBorder="1" applyAlignment="1">
      <alignment horizontal="left" vertical="center"/>
    </xf>
    <xf numFmtId="165" fontId="63" fillId="0" borderId="17" xfId="0" applyFont="1" applyBorder="1" applyAlignment="1">
      <alignment horizontal="left" vertical="center"/>
    </xf>
    <xf numFmtId="165" fontId="63" fillId="0" borderId="18" xfId="0" applyFont="1" applyBorder="1" applyAlignment="1">
      <alignment horizontal="left" vertical="center"/>
    </xf>
    <xf numFmtId="165" fontId="36" fillId="0" borderId="15" xfId="0" applyFont="1" applyBorder="1" applyAlignment="1">
      <alignment horizontal="center" vertical="center"/>
    </xf>
    <xf numFmtId="166" fontId="36" fillId="0" borderId="15" xfId="0" applyNumberFormat="1" applyFont="1" applyBorder="1" applyAlignment="1">
      <alignment horizontal="center" vertical="center" wrapText="1"/>
    </xf>
    <xf numFmtId="165" fontId="32" fillId="8" borderId="15" xfId="0" applyFont="1" applyFill="1" applyBorder="1" applyAlignment="1">
      <alignment horizontal="center" vertical="center"/>
    </xf>
    <xf numFmtId="165" fontId="3" fillId="0" borderId="19" xfId="0" applyFont="1" applyBorder="1" applyAlignment="1">
      <alignment horizontal="center" vertical="center"/>
    </xf>
    <xf numFmtId="165" fontId="46" fillId="0" borderId="0" xfId="103" applyFont="1" applyAlignment="1">
      <alignment horizontal="center" vertical="center"/>
    </xf>
    <xf numFmtId="165" fontId="50" fillId="0" borderId="0" xfId="4" applyFont="1" applyAlignment="1">
      <alignment horizontal="left"/>
    </xf>
    <xf numFmtId="49" fontId="8" fillId="3" borderId="14" xfId="1" applyNumberFormat="1" applyFont="1" applyFill="1" applyBorder="1" applyAlignment="1">
      <alignment horizontal="center" vertical="center" wrapText="1"/>
    </xf>
    <xf numFmtId="165" fontId="8" fillId="3" borderId="14" xfId="1" applyFont="1" applyFill="1" applyBorder="1" applyAlignment="1">
      <alignment horizontal="center" vertical="center" wrapText="1"/>
    </xf>
    <xf numFmtId="165" fontId="8" fillId="3" borderId="14" xfId="1" applyFont="1" applyFill="1" applyBorder="1" applyAlignment="1">
      <alignment horizontal="center" vertical="center"/>
    </xf>
    <xf numFmtId="3" fontId="32" fillId="0" borderId="0" xfId="0" applyNumberFormat="1" applyFont="1" applyAlignment="1">
      <alignment horizontal="right" vertical="center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10/relationships/person" Target="persons/person1.xml"/><Relationship Id="rId5" Type="http://schemas.openxmlformats.org/officeDocument/2006/relationships/theme" Target="theme/theme1.xml"/><Relationship Id="rId10" Type="http://schemas.microsoft.com/office/2017/10/relationships/person" Target="persons/person0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2052566</xdr:colOff>
      <xdr:row>0</xdr:row>
      <xdr:rowOff>15871</xdr:rowOff>
    </xdr:from>
    <xdr:to>
      <xdr:col>7</xdr:col>
      <xdr:colOff>88512</xdr:colOff>
      <xdr:row>1</xdr:row>
      <xdr:rowOff>136520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8815917" y="15871"/>
          <a:ext cx="2995083" cy="1025524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r>
            <a:rPr lang="en-US" sz="2400" b="1" i="0" u="none" strike="noStrike" baseline="0">
              <a:solidFill>
                <a:srgbClr val="3B5E91"/>
              </a:solidFill>
              <a:latin typeface="Trebuchet MS"/>
            </a:rPr>
            <a:t>QUOTATION</a:t>
          </a:r>
        </a:p>
        <a:p>
          <a:pPr algn="r" rtl="0">
            <a:defRPr sz="1000"/>
          </a:pPr>
          <a:r>
            <a:rPr lang="th-TH" sz="1800" b="1" i="0" u="none" strike="noStrike" baseline="0">
              <a:solidFill>
                <a:srgbClr val="3B5E91"/>
              </a:solidFill>
              <a:latin typeface="Trebuchet MS"/>
            </a:rPr>
            <a:t>ใบเสนอราคา</a:t>
          </a: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>
    <xdr:from>
      <xdr:col>0</xdr:col>
      <xdr:colOff>460375</xdr:colOff>
      <xdr:row>53</xdr:row>
      <xdr:rowOff>34660</xdr:rowOff>
    </xdr:from>
    <xdr:to>
      <xdr:col>5</xdr:col>
      <xdr:colOff>211139</xdr:colOff>
      <xdr:row>69</xdr:row>
      <xdr:rowOff>95250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/>
      </xdr:nvGrpSpPr>
      <xdr:grpSpPr>
        <a:xfrm>
          <a:off x="460375" y="15570263"/>
          <a:ext cx="8761195" cy="3148004"/>
          <a:chOff x="152400" y="10250543"/>
          <a:chExt cx="7652668" cy="2826224"/>
        </a:xfrm>
      </xdr:grpSpPr>
      <xdr:sp macro="" textlink="">
        <xdr:nvSpPr>
          <xdr:cNvPr id="4" name="Text Box 18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2400" y="10517715"/>
            <a:ext cx="3175000" cy="255905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______________________________________         </a:t>
            </a: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To confirm this quotation, sign here and return:  </a:t>
            </a: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</a:t>
            </a: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</a:t>
            </a: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            Date   ......./......../...........</a:t>
            </a: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sp macro="" textlink="">
        <xdr:nvSpPr>
          <xdr:cNvPr id="5" name="Text Box 18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98739" y="10250543"/>
            <a:ext cx="4106329" cy="254775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ctr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                                                                                                                        ____________________________________________                                                                                                                                                                                                                                                      </a:t>
            </a:r>
          </a:p>
          <a:p>
            <a:pPr algn="ctr" rtl="0">
              <a:defRPr sz="1000"/>
            </a:pPr>
            <a:br>
              <a:rPr lang="en-US" sz="10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</a:b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Mr. Chottanin A. (CA) </a:t>
            </a:r>
          </a:p>
          <a:p>
            <a:pPr algn="ctr" rtl="0">
              <a:defRPr sz="1000"/>
            </a:pP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TRANSMISSION PRODUCT MANAGER</a:t>
            </a:r>
            <a:b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</a:b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089-926-8598</a:t>
            </a:r>
            <a:endParaRPr lang="th-TH" sz="12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ctr" rtl="0">
              <a:defRPr sz="1000"/>
            </a:pPr>
            <a:r>
              <a:rPr lang="en-US" sz="10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Date :  ................................................</a:t>
            </a: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</xdr:grp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5</xdr:col>
      <xdr:colOff>615684</xdr:colOff>
      <xdr:row>53</xdr:row>
      <xdr:rowOff>103187</xdr:rowOff>
    </xdr:from>
    <xdr:to>
      <xdr:col>7</xdr:col>
      <xdr:colOff>1451768</xdr:colOff>
      <xdr:row>65</xdr:row>
      <xdr:rowOff>63500</xdr:rowOff>
    </xdr:to>
    <xdr:sp macro="" textlink="">
      <xdr:nvSpPr>
        <xdr:cNvPr id="7" name="Text Box 18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9100872" y="15382875"/>
          <a:ext cx="3272896" cy="23415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>
                  <a:alpha val="0"/>
                </a:srgbClr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r>
            <a:rPr lang="en-US" sz="900">
              <a:effectLst/>
            </a:rPr>
            <a:t> </a:t>
          </a: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ctr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</a:t>
          </a: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</a:t>
          </a: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          </a:t>
          </a:r>
          <a:r>
            <a:rPr lang="en-US" sz="12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Approve By</a:t>
          </a: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</a:t>
          </a:r>
          <a:r>
            <a:rPr lang="en-US" sz="12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Mr.Traiwit Luengthong </a:t>
          </a:r>
          <a:r>
            <a:rPr lang="en-US" sz="12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        </a:t>
          </a:r>
          <a:r>
            <a:rPr lang="en-US" sz="12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SALE MANAGER</a:t>
          </a: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</xdr:txBody>
    </xdr:sp>
    <xdr:clientData/>
  </xdr:twoCellAnchor>
  <xdr:twoCellAnchor>
    <xdr:from>
      <xdr:col>5</xdr:col>
      <xdr:colOff>381000</xdr:colOff>
      <xdr:row>7</xdr:row>
      <xdr:rowOff>111125</xdr:rowOff>
    </xdr:from>
    <xdr:to>
      <xdr:col>9</xdr:col>
      <xdr:colOff>250033</xdr:colOff>
      <xdr:row>14</xdr:row>
      <xdr:rowOff>79375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9391431" y="2114659"/>
          <a:ext cx="4708171" cy="1271095"/>
          <a:chOff x="8028215" y="2589250"/>
          <a:chExt cx="3625038" cy="824781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348694" y="288545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r>
              <a:rPr lang="en-US" sz="13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LINE ID: @synergy.as                                                                                                                                                                                                                                                            </a:t>
            </a:r>
          </a:p>
          <a:p>
            <a:pPr algn="l" rtl="0">
              <a:defRPr sz="1000"/>
            </a:pPr>
            <a:endParaRPr lang="en-US" sz="105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105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103190</xdr:colOff>
      <xdr:row>54</xdr:row>
      <xdr:rowOff>174432</xdr:rowOff>
    </xdr:from>
    <xdr:to>
      <xdr:col>7</xdr:col>
      <xdr:colOff>373065</xdr:colOff>
      <xdr:row>58</xdr:row>
      <xdr:rowOff>150495</xdr:rowOff>
    </xdr:to>
    <xdr:pic>
      <xdr:nvPicPr>
        <xdr:cNvPr id="13" name="Picture 2">
          <a:extLst>
            <a:ext uri="{FF2B5EF4-FFF2-40B4-BE49-F238E27FC236}">
              <a16:creationId xmlns:a16="http://schemas.microsoft.com/office/drawing/2014/main" id="{80080D62-479D-43DA-9DEE-47D3B4F60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grayscl/>
        </a:blip>
        <a:srcRect/>
        <a:stretch>
          <a:fillRect/>
        </a:stretch>
      </xdr:blipFill>
      <xdr:spPr bwMode="auto">
        <a:xfrm>
          <a:off x="10697107" y="16081182"/>
          <a:ext cx="1402291" cy="801563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0</xdr:rowOff>
    </xdr:from>
    <xdr:to>
      <xdr:col>0</xdr:col>
      <xdr:colOff>304800</xdr:colOff>
      <xdr:row>36</xdr:row>
      <xdr:rowOff>146050</xdr:rowOff>
    </xdr:to>
    <xdr:sp macro="" textlink="">
      <xdr:nvSpPr>
        <xdr:cNvPr id="2049" name="AutoShape 1" descr="แสดงตัวอย่างรูป">
          <a:extLst>
            <a:ext uri="{FF2B5EF4-FFF2-40B4-BE49-F238E27FC236}">
              <a16:creationId xmlns:a16="http://schemas.microsoft.com/office/drawing/2014/main" id="{B1E53452-58E6-3B7B-A46B-734733E63839}"/>
            </a:ext>
          </a:extLst>
        </xdr:cNvPr>
        <xdr:cNvSpPr>
          <a:spLocks noChangeAspect="1" noChangeArrowheads="1"/>
        </xdr:cNvSpPr>
      </xdr:nvSpPr>
      <xdr:spPr bwMode="auto">
        <a:xfrm>
          <a:off x="0" y="5556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41</xdr:row>
      <xdr:rowOff>0</xdr:rowOff>
    </xdr:from>
    <xdr:to>
      <xdr:col>6</xdr:col>
      <xdr:colOff>304800</xdr:colOff>
      <xdr:row>42</xdr:row>
      <xdr:rowOff>146050</xdr:rowOff>
    </xdr:to>
    <xdr:sp macro="" textlink="">
      <xdr:nvSpPr>
        <xdr:cNvPr id="2050" name="AutoShape 2" descr="แสดงตัวอย่างรูป">
          <a:extLst>
            <a:ext uri="{FF2B5EF4-FFF2-40B4-BE49-F238E27FC236}">
              <a16:creationId xmlns:a16="http://schemas.microsoft.com/office/drawing/2014/main" id="{DFB14CC1-7EF3-C5D4-8751-10CADD5A1B86}"/>
            </a:ext>
          </a:extLst>
        </xdr:cNvPr>
        <xdr:cNvSpPr>
          <a:spLocks noChangeAspect="1" noChangeArrowheads="1"/>
        </xdr:cNvSpPr>
      </xdr:nvSpPr>
      <xdr:spPr bwMode="auto">
        <a:xfrm>
          <a:off x="3657600" y="650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63500</xdr:colOff>
      <xdr:row>27</xdr:row>
      <xdr:rowOff>63500</xdr:rowOff>
    </xdr:from>
    <xdr:to>
      <xdr:col>18</xdr:col>
      <xdr:colOff>587375</xdr:colOff>
      <xdr:row>106</xdr:row>
      <xdr:rowOff>84254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AE4C5E09-0F49-88CB-35F0-AFC35AC47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4349750"/>
          <a:ext cx="11382375" cy="1256200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Quotation\Quotation\SAS\QTT20\QOH\QOH20-SAS-003-Enovia%20(25-03-2020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 Quote "/>
      <sheetName val="Cost Sheet"/>
      <sheetName val="Sheet1"/>
    </sheetNames>
    <sheetDataSet>
      <sheetData sheetId="0">
        <row r="4">
          <cell r="G4" t="str">
            <v>QOH20-SAS-003</v>
          </cell>
        </row>
      </sheetData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0"/>
  <sheetViews>
    <sheetView showGridLines="0" tabSelected="1" view="pageBreakPreview" zoomScale="58" zoomScaleNormal="55" workbookViewId="0">
      <selection activeCell="D4" sqref="D4"/>
    </sheetView>
  </sheetViews>
  <sheetFormatPr defaultColWidth="8.81640625" defaultRowHeight="13.5"/>
  <cols>
    <col min="1" max="1" width="12.1796875" style="101" customWidth="1"/>
    <col min="2" max="2" width="23.08984375" style="101" customWidth="1"/>
    <col min="3" max="3" width="11.81640625" style="101" customWidth="1"/>
    <col min="4" max="4" width="49.7265625" style="101" customWidth="1"/>
    <col min="5" max="5" width="32.36328125" style="101" customWidth="1"/>
    <col min="6" max="6" width="22.54296875" style="101" customWidth="1"/>
    <col min="7" max="7" width="16.1796875" style="101" customWidth="1"/>
    <col min="8" max="8" width="21.81640625" style="101" customWidth="1"/>
    <col min="9" max="9" width="8.81640625" style="101"/>
    <col min="10" max="10" width="21.81640625" style="101" bestFit="1" customWidth="1"/>
    <col min="11" max="16384" width="8.81640625" style="101"/>
  </cols>
  <sheetData>
    <row r="1" spans="1:13" ht="71.150000000000006" customHeight="1">
      <c r="A1" s="99" t="s">
        <v>14</v>
      </c>
      <c r="B1" s="100"/>
      <c r="C1" s="100"/>
      <c r="D1" s="100"/>
      <c r="E1" s="100"/>
      <c r="F1" s="100"/>
      <c r="G1" s="100"/>
    </row>
    <row r="2" spans="1:13" s="104" customFormat="1" ht="15" customHeight="1">
      <c r="A2" s="102" t="s">
        <v>41</v>
      </c>
      <c r="B2" s="103"/>
      <c r="C2" s="102"/>
      <c r="D2" s="102"/>
      <c r="E2" s="102"/>
      <c r="F2" s="102"/>
      <c r="G2" s="102"/>
    </row>
    <row r="3" spans="1:13" s="104" customFormat="1" ht="15" customHeight="1">
      <c r="A3" s="102" t="s">
        <v>15</v>
      </c>
      <c r="B3" s="103"/>
      <c r="C3" s="102"/>
      <c r="D3" s="102"/>
      <c r="E3" s="105"/>
      <c r="F3" s="106"/>
      <c r="G3" s="106" t="s">
        <v>9</v>
      </c>
      <c r="H3" s="107" t="s">
        <v>74</v>
      </c>
    </row>
    <row r="4" spans="1:13" s="104" customFormat="1" ht="15" customHeight="1">
      <c r="A4" s="102" t="s">
        <v>16</v>
      </c>
      <c r="B4" s="103"/>
      <c r="C4" s="102"/>
      <c r="D4" s="102"/>
      <c r="E4" s="105"/>
      <c r="F4" s="106"/>
      <c r="G4" s="106" t="s">
        <v>10</v>
      </c>
      <c r="H4" s="180">
        <f ca="1">TODAY()</f>
        <v>46082</v>
      </c>
    </row>
    <row r="5" spans="1:13" s="104" customFormat="1" ht="15" customHeight="1">
      <c r="A5" s="102" t="s">
        <v>40</v>
      </c>
      <c r="B5" s="102"/>
      <c r="C5" s="102"/>
      <c r="D5" s="102"/>
      <c r="E5" s="105"/>
      <c r="F5" s="106"/>
      <c r="G5" s="106" t="s">
        <v>11</v>
      </c>
      <c r="H5" s="181" t="s">
        <v>47</v>
      </c>
    </row>
    <row r="6" spans="1:13" s="104" customFormat="1" ht="15" customHeight="1">
      <c r="A6" s="102" t="s">
        <v>39</v>
      </c>
      <c r="B6" s="102"/>
      <c r="C6" s="102"/>
      <c r="D6" s="102"/>
      <c r="E6" s="105"/>
      <c r="F6" s="106"/>
      <c r="G6" s="106" t="s">
        <v>12</v>
      </c>
      <c r="H6" s="108" t="s">
        <v>42</v>
      </c>
    </row>
    <row r="7" spans="1:13" s="104" customFormat="1" ht="14.15" customHeight="1">
      <c r="A7" s="102"/>
      <c r="B7" s="102"/>
      <c r="C7" s="102"/>
      <c r="D7" s="102"/>
      <c r="E7" s="102"/>
      <c r="F7" s="106"/>
      <c r="G7" s="103"/>
    </row>
    <row r="8" spans="1:13" s="104" customFormat="1" ht="15" customHeight="1">
      <c r="A8" s="179" t="s">
        <v>55</v>
      </c>
      <c r="B8" s="109"/>
      <c r="C8" s="108"/>
      <c r="D8" s="108"/>
      <c r="E8" s="108"/>
      <c r="F8" s="103"/>
      <c r="G8" s="103"/>
    </row>
    <row r="9" spans="1:13" s="104" customFormat="1" ht="15" customHeight="1">
      <c r="A9" s="102"/>
      <c r="B9" s="176"/>
      <c r="C9" s="176"/>
      <c r="D9" s="176"/>
      <c r="E9" s="110"/>
      <c r="F9" s="103"/>
      <c r="G9" s="103"/>
    </row>
    <row r="10" spans="1:13" s="104" customFormat="1" ht="15" customHeight="1">
      <c r="A10" s="102"/>
      <c r="B10" s="216"/>
      <c r="C10" s="216"/>
      <c r="D10" s="216"/>
      <c r="E10" s="216"/>
      <c r="F10" s="103"/>
      <c r="G10" s="103"/>
      <c r="M10"/>
    </row>
    <row r="11" spans="1:13" s="104" customFormat="1" ht="15" customHeight="1">
      <c r="A11" s="102"/>
      <c r="B11" s="222"/>
      <c r="C11" s="222"/>
      <c r="D11" s="222"/>
      <c r="E11" s="177"/>
      <c r="F11" s="103"/>
      <c r="G11" s="103"/>
    </row>
    <row r="12" spans="1:13" s="104" customFormat="1" ht="15" customHeight="1">
      <c r="A12" s="102"/>
      <c r="B12" s="217"/>
      <c r="C12" s="217"/>
      <c r="D12" s="217"/>
      <c r="E12" s="108"/>
      <c r="F12" s="103"/>
      <c r="G12" s="103"/>
    </row>
    <row r="13" spans="1:13" s="104" customFormat="1" ht="15" customHeight="1">
      <c r="A13" s="102" t="s">
        <v>54</v>
      </c>
      <c r="B13" s="218"/>
      <c r="C13" s="219"/>
      <c r="D13" s="219"/>
      <c r="E13" s="108"/>
      <c r="F13" s="103"/>
      <c r="G13" s="103"/>
    </row>
    <row r="14" spans="1:13" s="104" customFormat="1" ht="15" customHeight="1">
      <c r="A14" s="102" t="s">
        <v>52</v>
      </c>
      <c r="B14" s="196"/>
      <c r="C14" s="108"/>
      <c r="D14" s="102"/>
      <c r="E14" s="102"/>
      <c r="F14" s="103"/>
      <c r="G14" s="102"/>
    </row>
    <row r="15" spans="1:13" s="113" customFormat="1" ht="15" customHeight="1">
      <c r="A15" s="102" t="s">
        <v>53</v>
      </c>
      <c r="B15" s="178"/>
      <c r="C15" s="110"/>
      <c r="D15" s="111"/>
      <c r="E15" s="111"/>
      <c r="F15" s="112"/>
      <c r="G15" s="111"/>
      <c r="H15" s="104"/>
    </row>
    <row r="16" spans="1:13" s="114" customFormat="1" ht="33.75" customHeight="1">
      <c r="A16" s="199" t="s">
        <v>7</v>
      </c>
      <c r="B16" s="199" t="s">
        <v>6</v>
      </c>
      <c r="C16" s="199" t="s">
        <v>13</v>
      </c>
      <c r="D16" s="220" t="s">
        <v>1</v>
      </c>
      <c r="E16" s="220"/>
      <c r="F16" s="220" t="s">
        <v>2</v>
      </c>
      <c r="G16" s="221"/>
      <c r="H16" s="200" t="s">
        <v>3</v>
      </c>
    </row>
    <row r="17" spans="1:10" s="115" customFormat="1" ht="22.5" customHeight="1">
      <c r="A17" s="168" t="s">
        <v>75</v>
      </c>
      <c r="B17" s="194" t="s">
        <v>68</v>
      </c>
      <c r="C17" s="168" t="s">
        <v>63</v>
      </c>
      <c r="D17" s="227" t="s">
        <v>76</v>
      </c>
      <c r="E17" s="227"/>
      <c r="F17" s="228" t="s">
        <v>69</v>
      </c>
      <c r="G17" s="228"/>
      <c r="H17" s="122" t="s">
        <v>67</v>
      </c>
    </row>
    <row r="18" spans="1:10" s="115" customFormat="1" ht="16" customHeight="1">
      <c r="A18" s="116"/>
      <c r="B18" s="117"/>
      <c r="C18" s="117"/>
      <c r="D18" s="117"/>
      <c r="E18" s="117"/>
      <c r="F18" s="118"/>
      <c r="G18" s="119"/>
      <c r="H18" s="120"/>
    </row>
    <row r="19" spans="1:10" ht="25.5" customHeight="1">
      <c r="A19" s="197" t="s">
        <v>8</v>
      </c>
      <c r="B19" s="197" t="s">
        <v>64</v>
      </c>
      <c r="C19" s="229" t="s">
        <v>0</v>
      </c>
      <c r="D19" s="229"/>
      <c r="E19" s="229"/>
      <c r="F19" s="198" t="s">
        <v>4</v>
      </c>
      <c r="G19" s="198" t="s">
        <v>43</v>
      </c>
      <c r="H19" s="198" t="s">
        <v>5</v>
      </c>
    </row>
    <row r="20" spans="1:10" s="125" customFormat="1" ht="25" customHeight="1">
      <c r="A20" s="193">
        <v>1</v>
      </c>
      <c r="B20" s="122"/>
      <c r="C20" s="163"/>
      <c r="D20" s="191"/>
      <c r="E20" s="192"/>
      <c r="F20" s="123">
        <v>1</v>
      </c>
      <c r="G20" s="186"/>
      <c r="H20" s="186">
        <f>G20*F20</f>
        <v>0</v>
      </c>
      <c r="I20" s="124"/>
    </row>
    <row r="21" spans="1:10" s="125" customFormat="1" ht="25" customHeight="1">
      <c r="A21" s="122"/>
      <c r="B21" s="122"/>
      <c r="C21" s="163"/>
      <c r="D21" s="164"/>
      <c r="E21" s="165"/>
      <c r="F21" s="123"/>
      <c r="G21" s="204"/>
      <c r="H21" s="186"/>
      <c r="I21" s="124"/>
    </row>
    <row r="22" spans="1:10" s="125" customFormat="1" ht="25" customHeight="1">
      <c r="A22" s="122"/>
      <c r="B22" s="122"/>
      <c r="C22" s="163"/>
      <c r="D22" s="164"/>
      <c r="E22" s="165"/>
      <c r="F22" s="123"/>
      <c r="G22" s="186"/>
      <c r="H22" s="186"/>
      <c r="I22" s="124"/>
    </row>
    <row r="23" spans="1:10" s="125" customFormat="1" ht="25" customHeight="1">
      <c r="A23" s="193"/>
      <c r="B23" s="122"/>
      <c r="C23" s="210"/>
      <c r="D23" s="191"/>
      <c r="E23" s="192"/>
      <c r="F23" s="123"/>
      <c r="G23" s="186"/>
      <c r="H23" s="186"/>
      <c r="I23" s="124"/>
    </row>
    <row r="24" spans="1:10" ht="25" customHeight="1">
      <c r="A24" s="122"/>
      <c r="B24" s="122"/>
      <c r="C24" s="163"/>
      <c r="D24" s="164"/>
      <c r="E24" s="165"/>
      <c r="F24" s="123"/>
      <c r="G24" s="204"/>
      <c r="H24" s="209"/>
      <c r="J24" s="126"/>
    </row>
    <row r="25" spans="1:10" ht="25" customHeight="1">
      <c r="A25" s="193"/>
      <c r="B25" s="122"/>
      <c r="C25" s="206"/>
      <c r="D25" s="191"/>
      <c r="E25" s="192"/>
      <c r="F25" s="123"/>
      <c r="G25" s="186"/>
      <c r="H25" s="186"/>
      <c r="J25" s="126"/>
    </row>
    <row r="26" spans="1:10" ht="25" customHeight="1">
      <c r="A26" s="122"/>
      <c r="B26" s="122"/>
      <c r="C26" s="163"/>
      <c r="D26" s="164"/>
      <c r="E26" s="165"/>
      <c r="F26" s="123"/>
      <c r="G26" s="203"/>
      <c r="H26" s="186"/>
      <c r="J26" s="202"/>
    </row>
    <row r="27" spans="1:10" ht="25" customHeight="1">
      <c r="A27" s="122"/>
      <c r="B27" s="122"/>
      <c r="C27" s="210"/>
      <c r="D27" s="164"/>
      <c r="E27" s="165"/>
      <c r="F27" s="123"/>
      <c r="G27" s="203"/>
      <c r="H27" s="186"/>
      <c r="J27" s="202"/>
    </row>
    <row r="28" spans="1:10" ht="25" customHeight="1">
      <c r="A28" s="122"/>
      <c r="B28" s="122"/>
      <c r="C28" s="210"/>
      <c r="D28" s="164"/>
      <c r="E28" s="165"/>
      <c r="F28" s="123"/>
      <c r="G28" s="203"/>
      <c r="H28" s="186"/>
      <c r="J28" s="202"/>
    </row>
    <row r="29" spans="1:10" ht="25" customHeight="1">
      <c r="A29" s="122"/>
      <c r="B29" s="122"/>
      <c r="C29" s="210"/>
      <c r="D29" s="164"/>
      <c r="E29" s="165"/>
      <c r="F29" s="123"/>
      <c r="G29" s="186"/>
      <c r="H29" s="186"/>
      <c r="J29" s="202"/>
    </row>
    <row r="30" spans="1:10" ht="25" customHeight="1">
      <c r="A30" s="193"/>
      <c r="B30" s="122"/>
      <c r="C30" s="163"/>
      <c r="D30" s="191"/>
      <c r="E30" s="192"/>
      <c r="F30" s="123"/>
      <c r="G30" s="186"/>
      <c r="H30" s="186"/>
      <c r="J30" s="202"/>
    </row>
    <row r="31" spans="1:10" ht="25" customHeight="1">
      <c r="A31" s="122"/>
      <c r="B31" s="122"/>
      <c r="C31" s="163"/>
      <c r="D31" s="164"/>
      <c r="E31" s="165"/>
      <c r="F31" s="123"/>
      <c r="G31" s="204"/>
      <c r="H31" s="186"/>
      <c r="J31" s="202"/>
    </row>
    <row r="32" spans="1:10" ht="25" customHeight="1">
      <c r="A32" s="193"/>
      <c r="B32" s="122"/>
      <c r="C32" s="206"/>
      <c r="D32" s="191"/>
      <c r="E32" s="192"/>
      <c r="F32" s="123"/>
      <c r="G32" s="186"/>
      <c r="H32" s="186"/>
      <c r="J32" s="202"/>
    </row>
    <row r="33" spans="1:10" ht="25" customHeight="1">
      <c r="A33" s="122"/>
      <c r="B33" s="122"/>
      <c r="C33" s="163"/>
      <c r="D33" s="164"/>
      <c r="E33" s="165"/>
      <c r="F33" s="123"/>
      <c r="G33" s="203"/>
      <c r="H33" s="186"/>
      <c r="J33" s="202"/>
    </row>
    <row r="34" spans="1:10" ht="25" customHeight="1">
      <c r="A34" s="122"/>
      <c r="B34" s="122"/>
      <c r="C34" s="205"/>
      <c r="D34" s="164"/>
      <c r="E34" s="165"/>
      <c r="F34" s="123"/>
      <c r="G34" s="203"/>
      <c r="H34" s="186"/>
      <c r="J34" s="202"/>
    </row>
    <row r="35" spans="1:10" ht="25" customHeight="1">
      <c r="A35" s="122"/>
      <c r="B35" s="122"/>
      <c r="C35" s="163"/>
      <c r="D35" s="164"/>
      <c r="E35" s="165"/>
      <c r="F35" s="123"/>
      <c r="G35" s="203"/>
      <c r="H35" s="186"/>
      <c r="J35" s="202"/>
    </row>
    <row r="36" spans="1:10" ht="25" customHeight="1">
      <c r="A36" s="122"/>
      <c r="B36" s="122"/>
      <c r="C36" s="205"/>
      <c r="D36" s="164"/>
      <c r="E36" s="165"/>
      <c r="F36" s="123"/>
      <c r="G36" s="203"/>
      <c r="H36" s="186"/>
      <c r="J36" s="202"/>
    </row>
    <row r="37" spans="1:10" ht="25" customHeight="1">
      <c r="A37" s="122"/>
      <c r="B37" s="122"/>
      <c r="C37" s="163"/>
      <c r="D37" s="164"/>
      <c r="E37" s="165"/>
      <c r="F37" s="123"/>
      <c r="G37" s="203"/>
      <c r="H37" s="186"/>
      <c r="J37" s="202"/>
    </row>
    <row r="38" spans="1:10" ht="25" customHeight="1">
      <c r="A38" s="122"/>
      <c r="B38" s="122"/>
      <c r="C38" s="163"/>
      <c r="D38" s="164"/>
      <c r="E38" s="165"/>
      <c r="F38" s="123"/>
      <c r="G38" s="186"/>
      <c r="H38" s="186"/>
      <c r="J38" s="126"/>
    </row>
    <row r="39" spans="1:10" ht="25" customHeight="1">
      <c r="A39" s="193"/>
      <c r="B39" s="122"/>
      <c r="C39" s="163"/>
      <c r="D39"/>
      <c r="E39"/>
      <c r="F39" s="123"/>
      <c r="G39" s="186"/>
      <c r="H39" s="186"/>
      <c r="J39" s="126"/>
    </row>
    <row r="40" spans="1:10" ht="25" customHeight="1">
      <c r="A40" s="122"/>
      <c r="B40" s="122"/>
      <c r="C40" s="163"/>
      <c r="D40" s="164"/>
      <c r="E40" s="165"/>
      <c r="F40" s="123"/>
      <c r="G40" s="204"/>
      <c r="H40" s="186"/>
      <c r="J40" s="126"/>
    </row>
    <row r="41" spans="1:10" ht="25" customHeight="1">
      <c r="A41" s="193"/>
      <c r="B41" s="122"/>
      <c r="C41" s="206"/>
      <c r="D41" s="191"/>
      <c r="E41" s="192"/>
      <c r="F41" s="123"/>
      <c r="G41" s="186"/>
      <c r="H41" s="186"/>
      <c r="J41" s="126"/>
    </row>
    <row r="42" spans="1:10" ht="25" customHeight="1">
      <c r="A42" s="122"/>
      <c r="B42" s="122"/>
      <c r="C42" s="163"/>
      <c r="D42" s="164"/>
      <c r="E42" s="165"/>
      <c r="F42" s="123"/>
      <c r="G42" s="203"/>
      <c r="H42" s="186"/>
      <c r="J42" s="126"/>
    </row>
    <row r="43" spans="1:10" ht="25" customHeight="1">
      <c r="A43" s="122"/>
      <c r="B43" s="122"/>
      <c r="C43" s="206"/>
      <c r="D43" s="191"/>
      <c r="E43" s="192"/>
      <c r="F43" s="123"/>
      <c r="G43" s="203"/>
      <c r="H43" s="186"/>
      <c r="J43" s="126"/>
    </row>
    <row r="44" spans="1:10" ht="25" customHeight="1">
      <c r="A44" s="193"/>
      <c r="B44" s="122"/>
      <c r="C44" s="163"/>
      <c r="D44" s="164"/>
      <c r="E44" s="165"/>
      <c r="F44" s="123"/>
      <c r="G44" s="186"/>
      <c r="H44" s="186"/>
      <c r="J44" s="126"/>
    </row>
    <row r="45" spans="1:10" ht="25" customHeight="1">
      <c r="A45" s="122"/>
      <c r="B45" s="167"/>
      <c r="C45" s="163"/>
      <c r="D45" s="164"/>
      <c r="E45" s="165"/>
      <c r="F45" s="123"/>
      <c r="G45" s="122"/>
      <c r="H45" s="123"/>
      <c r="J45" s="126"/>
    </row>
    <row r="46" spans="1:10" ht="25" customHeight="1">
      <c r="A46" s="122"/>
      <c r="B46" s="207"/>
      <c r="C46" s="208"/>
      <c r="D46" s="184"/>
      <c r="E46" s="185"/>
      <c r="F46" s="123"/>
      <c r="G46" s="122"/>
      <c r="H46" s="123"/>
      <c r="J46" s="126"/>
    </row>
    <row r="47" spans="1:10" ht="25" customHeight="1">
      <c r="A47" s="122"/>
      <c r="B47" s="207"/>
      <c r="C47" s="195"/>
      <c r="D47" s="184"/>
      <c r="E47" s="185"/>
      <c r="F47" s="123"/>
      <c r="G47" s="122"/>
      <c r="H47" s="123"/>
      <c r="J47" s="126"/>
    </row>
    <row r="48" spans="1:10" ht="25" customHeight="1">
      <c r="A48" s="122"/>
      <c r="B48" s="207"/>
      <c r="C48" s="211"/>
      <c r="D48" s="212"/>
      <c r="E48" s="213"/>
      <c r="F48" s="123"/>
      <c r="G48" s="122"/>
      <c r="H48" s="123"/>
      <c r="J48" s="126"/>
    </row>
    <row r="49" spans="1:8" s="127" customFormat="1" ht="25" customHeight="1">
      <c r="A49" s="122"/>
      <c r="B49" s="166"/>
      <c r="C49" s="211"/>
      <c r="D49" s="214"/>
      <c r="E49" s="215"/>
      <c r="F49" s="123"/>
      <c r="G49" s="169"/>
      <c r="H49" s="123"/>
    </row>
    <row r="50" spans="1:8" s="131" customFormat="1" ht="25" customHeight="1">
      <c r="A50" s="121"/>
      <c r="B50" s="128"/>
      <c r="C50" s="224"/>
      <c r="D50" s="225"/>
      <c r="E50" s="226"/>
      <c r="F50" s="129"/>
      <c r="G50" s="163"/>
      <c r="H50" s="130"/>
    </row>
    <row r="51" spans="1:8" ht="25" customHeight="1">
      <c r="A51" s="113"/>
      <c r="B51" s="113"/>
      <c r="C51" s="113"/>
      <c r="D51" s="113"/>
      <c r="E51" s="113"/>
      <c r="F51" s="183">
        <f>SUM(F20:F49)</f>
        <v>1</v>
      </c>
      <c r="G51" s="236" t="s">
        <v>29</v>
      </c>
      <c r="H51" s="182">
        <f>SUM(H20:H50)</f>
        <v>0</v>
      </c>
    </row>
    <row r="52" spans="1:8" ht="25" customHeight="1">
      <c r="A52" s="113"/>
      <c r="B52" s="113"/>
      <c r="C52" s="113"/>
      <c r="D52" s="113"/>
      <c r="E52" s="113"/>
      <c r="F52" s="132"/>
      <c r="G52" s="236" t="s">
        <v>58</v>
      </c>
      <c r="H52" s="182">
        <f>H51*0.07</f>
        <v>0</v>
      </c>
    </row>
    <row r="53" spans="1:8" ht="25" customHeight="1">
      <c r="A53" s="113"/>
      <c r="B53" s="113"/>
      <c r="C53" s="113"/>
      <c r="D53" s="113"/>
      <c r="E53" s="113"/>
      <c r="F53" s="132"/>
      <c r="G53" s="236" t="s">
        <v>59</v>
      </c>
      <c r="H53" s="182">
        <f>SUM(H51:H52)</f>
        <v>0</v>
      </c>
    </row>
    <row r="54" spans="1:8" ht="25" customHeight="1">
      <c r="A54" s="133"/>
      <c r="B54" s="133"/>
      <c r="C54" s="133"/>
      <c r="D54" s="113"/>
      <c r="E54" s="113"/>
      <c r="F54" s="134"/>
      <c r="G54" s="223" t="str">
        <f>"("&amp;BAHTTEXT(H$53)&amp;")"</f>
        <v>(ศูนย์บาทถ้วน)</v>
      </c>
      <c r="H54" s="223"/>
    </row>
    <row r="55" spans="1:8" ht="25" customHeight="1">
      <c r="A55" s="135"/>
      <c r="B55" s="136"/>
      <c r="C55" s="137"/>
      <c r="D55" s="113"/>
      <c r="E55" s="113"/>
      <c r="F55" s="134"/>
      <c r="G55" s="138"/>
    </row>
    <row r="56" spans="1:8">
      <c r="A56" s="135"/>
      <c r="B56" s="137"/>
      <c r="C56" s="137"/>
      <c r="D56" s="113"/>
      <c r="E56" s="113"/>
      <c r="F56" s="113"/>
      <c r="G56" s="113"/>
    </row>
    <row r="57" spans="1:8">
      <c r="B57" s="139"/>
      <c r="C57" s="115"/>
      <c r="D57" s="115"/>
      <c r="E57" s="115"/>
      <c r="F57" s="115"/>
    </row>
    <row r="58" spans="1:8">
      <c r="B58" s="140"/>
      <c r="C58" s="115"/>
      <c r="D58" s="115"/>
      <c r="E58" s="115"/>
      <c r="F58" s="115"/>
    </row>
    <row r="60" spans="1:8">
      <c r="A60" s="139"/>
      <c r="B60" s="139"/>
      <c r="C60" s="139"/>
      <c r="D60" s="139"/>
      <c r="E60" s="139"/>
      <c r="F60" s="139"/>
      <c r="G60" s="139"/>
    </row>
  </sheetData>
  <mergeCells count="11">
    <mergeCell ref="G54:H54"/>
    <mergeCell ref="C50:E50"/>
    <mergeCell ref="D17:E17"/>
    <mergeCell ref="F17:G17"/>
    <mergeCell ref="C19:E19"/>
    <mergeCell ref="B10:E10"/>
    <mergeCell ref="B12:D12"/>
    <mergeCell ref="B13:D13"/>
    <mergeCell ref="D16:E16"/>
    <mergeCell ref="F16:G16"/>
    <mergeCell ref="B11:D11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50" orientation="portrait" r:id="rId1"/>
  <headerFooter scaleWithDoc="0" alignWithMargins="0"/>
  <rowBreaks count="1" manualBreakCount="1">
    <brk id="68" max="8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Q35"/>
  <sheetViews>
    <sheetView view="pageBreakPreview" topLeftCell="E13" zoomScale="90" zoomScaleNormal="60" zoomScaleSheetLayoutView="90" zoomScalePageLayoutView="85" workbookViewId="0">
      <selection activeCell="K18" sqref="K18"/>
    </sheetView>
  </sheetViews>
  <sheetFormatPr defaultColWidth="15.81640625" defaultRowHeight="30.75" customHeight="1"/>
  <cols>
    <col min="1" max="1" width="15.81640625" style="5" customWidth="1"/>
    <col min="2" max="2" width="24.54296875" style="5" customWidth="1"/>
    <col min="3" max="3" width="42.453125" style="3" customWidth="1"/>
    <col min="4" max="6" width="15.81640625" style="54" customWidth="1"/>
    <col min="7" max="7" width="18.08984375" style="55" customWidth="1"/>
    <col min="8" max="8" width="17" style="56" customWidth="1"/>
    <col min="9" max="9" width="17" style="55" customWidth="1"/>
    <col min="10" max="12" width="15.81640625" style="3" customWidth="1"/>
    <col min="13" max="13" width="15.81640625" style="53" customWidth="1"/>
    <col min="14" max="14" width="21.26953125" style="3" customWidth="1"/>
    <col min="15" max="16384" width="15.81640625" style="3"/>
  </cols>
  <sheetData>
    <row r="1" spans="1:17" s="142" customFormat="1" ht="30.75" customHeight="1">
      <c r="A1" s="231">
        <f>'Sales Quote  (2)'!B9</f>
        <v>0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</row>
    <row r="2" spans="1:17" s="151" customFormat="1" ht="24.75" customHeight="1">
      <c r="A2" s="143"/>
      <c r="B2" s="143"/>
      <c r="C2" s="143" t="s">
        <v>45</v>
      </c>
      <c r="D2" s="144"/>
      <c r="E2" s="144"/>
      <c r="F2" s="144"/>
      <c r="G2" s="145" t="s">
        <v>46</v>
      </c>
      <c r="H2" s="146" t="s">
        <v>47</v>
      </c>
      <c r="I2" s="145" t="s">
        <v>48</v>
      </c>
      <c r="J2" s="147"/>
      <c r="K2" s="147"/>
      <c r="L2" s="148" t="s">
        <v>49</v>
      </c>
      <c r="M2" s="149" t="str">
        <f>D3</f>
        <v>QOH20-SAS-003</v>
      </c>
      <c r="N2" s="147"/>
      <c r="O2" s="147"/>
      <c r="P2" s="147"/>
      <c r="Q2" s="150"/>
    </row>
    <row r="3" spans="1:17" s="142" customFormat="1" ht="24.75" customHeight="1">
      <c r="A3" s="143"/>
      <c r="B3" s="143"/>
      <c r="C3" s="143" t="s">
        <v>50</v>
      </c>
      <c r="D3" s="152" t="str">
        <f>'[1]Sales Quote '!G4</f>
        <v>QOH20-SAS-003</v>
      </c>
      <c r="E3" s="152"/>
      <c r="F3" s="152"/>
      <c r="G3" s="153"/>
      <c r="H3" s="154"/>
      <c r="I3" s="155">
        <f>435/32</f>
        <v>13.59375</v>
      </c>
      <c r="J3" s="156">
        <f>385/32</f>
        <v>12.03125</v>
      </c>
      <c r="K3" s="157"/>
      <c r="L3" s="158" t="s">
        <v>51</v>
      </c>
      <c r="M3" s="232">
        <f ca="1">TODAY()</f>
        <v>46082</v>
      </c>
      <c r="N3" s="232"/>
      <c r="O3" s="159"/>
      <c r="P3" s="159"/>
      <c r="Q3" s="157"/>
    </row>
    <row r="4" spans="1:17" s="142" customFormat="1" ht="24.75" customHeight="1">
      <c r="A4" s="143"/>
      <c r="B4" s="143"/>
      <c r="C4" s="143"/>
      <c r="D4" s="160"/>
      <c r="E4" s="160"/>
      <c r="F4" s="160"/>
      <c r="G4" s="153"/>
      <c r="H4" s="154"/>
      <c r="I4" s="155">
        <f>640/32</f>
        <v>20</v>
      </c>
      <c r="J4" s="156">
        <f>570/32</f>
        <v>17.8125</v>
      </c>
      <c r="K4" s="157"/>
      <c r="L4" s="158"/>
      <c r="M4" s="161"/>
      <c r="N4" s="162"/>
      <c r="O4" s="162"/>
      <c r="P4" s="162"/>
      <c r="Q4" s="157"/>
    </row>
    <row r="5" spans="1:17" ht="24.75" customHeight="1">
      <c r="C5" s="57"/>
      <c r="D5" s="58"/>
      <c r="E5" s="58"/>
      <c r="F5" s="58"/>
      <c r="G5" s="54"/>
      <c r="J5" s="55"/>
      <c r="M5" s="59"/>
      <c r="N5" s="60"/>
    </row>
    <row r="6" spans="1:17" s="1" customFormat="1" ht="30.75" customHeight="1"/>
    <row r="7" spans="1:17" ht="24.75" customHeight="1">
      <c r="C7" s="57"/>
      <c r="D7" s="58"/>
      <c r="E7" s="58"/>
      <c r="F7" s="58"/>
      <c r="G7" s="54"/>
      <c r="J7" s="55"/>
      <c r="M7" s="59"/>
      <c r="N7" s="60"/>
    </row>
    <row r="8" spans="1:17" ht="24.75" customHeight="1">
      <c r="A8" s="233" t="s">
        <v>17</v>
      </c>
      <c r="B8" s="234" t="s">
        <v>18</v>
      </c>
      <c r="C8" s="234" t="s">
        <v>19</v>
      </c>
      <c r="D8" s="97" t="s">
        <v>20</v>
      </c>
      <c r="E8" s="234" t="s">
        <v>21</v>
      </c>
      <c r="F8" s="234" t="s">
        <v>22</v>
      </c>
      <c r="G8" s="71" t="s">
        <v>23</v>
      </c>
      <c r="H8" s="71" t="s">
        <v>24</v>
      </c>
      <c r="I8" s="71" t="s">
        <v>25</v>
      </c>
      <c r="J8" s="98" t="s">
        <v>26</v>
      </c>
      <c r="K8" s="235" t="s">
        <v>27</v>
      </c>
      <c r="L8" s="235"/>
      <c r="M8" s="72" t="s">
        <v>4</v>
      </c>
      <c r="N8" s="98" t="s">
        <v>28</v>
      </c>
      <c r="O8" s="98" t="s">
        <v>29</v>
      </c>
    </row>
    <row r="9" spans="1:17" ht="24.75" customHeight="1">
      <c r="A9" s="233"/>
      <c r="B9" s="234"/>
      <c r="C9" s="234"/>
      <c r="D9" s="97" t="s">
        <v>30</v>
      </c>
      <c r="E9" s="234"/>
      <c r="F9" s="234"/>
      <c r="G9" s="71" t="s">
        <v>31</v>
      </c>
      <c r="H9" s="71" t="s">
        <v>32</v>
      </c>
      <c r="I9" s="71" t="s">
        <v>31</v>
      </c>
      <c r="J9" s="73"/>
      <c r="K9" s="98" t="s">
        <v>33</v>
      </c>
      <c r="L9" s="98" t="s">
        <v>34</v>
      </c>
      <c r="M9" s="72"/>
      <c r="N9" s="98" t="s">
        <v>35</v>
      </c>
      <c r="O9" s="98" t="s">
        <v>25</v>
      </c>
    </row>
    <row r="10" spans="1:17" ht="30.75" customHeight="1">
      <c r="A10" s="74"/>
      <c r="B10" s="75"/>
      <c r="C10" s="76"/>
      <c r="D10" s="77"/>
      <c r="E10" s="77"/>
      <c r="F10" s="77"/>
      <c r="G10" s="78"/>
      <c r="H10" s="79"/>
      <c r="I10" s="80"/>
      <c r="J10" s="81"/>
      <c r="K10" s="82"/>
      <c r="L10" s="82"/>
      <c r="M10" s="83"/>
      <c r="N10" s="82"/>
      <c r="O10" s="82"/>
    </row>
    <row r="11" spans="1:17" ht="30.75" customHeight="1">
      <c r="A11" s="84"/>
      <c r="B11" s="170"/>
      <c r="C11" s="230"/>
      <c r="D11" s="230"/>
      <c r="E11" s="230"/>
      <c r="F11" s="67"/>
      <c r="G11" s="64"/>
      <c r="H11" s="65"/>
      <c r="I11" s="85"/>
      <c r="J11" s="86"/>
      <c r="K11" s="70"/>
      <c r="L11" s="70"/>
      <c r="M11" s="69"/>
      <c r="N11" s="70"/>
      <c r="O11" s="70"/>
    </row>
    <row r="12" spans="1:17" ht="30.75" customHeight="1">
      <c r="A12" s="69" t="s">
        <v>36</v>
      </c>
      <c r="B12" s="171">
        <f>'Sales Quote  (2)'!B20</f>
        <v>0</v>
      </c>
      <c r="C12" s="172"/>
      <c r="D12" s="172"/>
      <c r="E12" s="172"/>
      <c r="F12" s="66"/>
      <c r="G12" s="95">
        <f>I27</f>
        <v>1551</v>
      </c>
      <c r="H12" s="65">
        <f t="shared" ref="H12:H21" si="0">G12*1.1</f>
        <v>1706.1000000000001</v>
      </c>
      <c r="I12" s="141">
        <v>4600</v>
      </c>
      <c r="J12" s="86"/>
      <c r="K12" s="70">
        <f>(I12-(H12))</f>
        <v>2893.8999999999996</v>
      </c>
      <c r="L12" s="70">
        <f>SUM(K12*100)/I12</f>
        <v>62.910869565217382</v>
      </c>
      <c r="M12" s="88">
        <v>0</v>
      </c>
      <c r="N12" s="70">
        <f>K12*M12</f>
        <v>0</v>
      </c>
      <c r="O12" s="70">
        <f>I12*M12</f>
        <v>0</v>
      </c>
    </row>
    <row r="13" spans="1:17" ht="30.75" customHeight="1">
      <c r="A13" s="69" t="s">
        <v>44</v>
      </c>
      <c r="B13" s="171" t="e">
        <f>'Sales Quote  (2)'!#REF!</f>
        <v>#REF!</v>
      </c>
      <c r="C13" s="172"/>
      <c r="D13" s="172"/>
      <c r="E13" s="172"/>
      <c r="F13" s="66"/>
      <c r="G13" s="95">
        <f>I28</f>
        <v>5090.25</v>
      </c>
      <c r="H13" s="65">
        <f t="shared" si="0"/>
        <v>5599.2750000000005</v>
      </c>
      <c r="I13" s="141">
        <v>13900</v>
      </c>
      <c r="J13" s="86"/>
      <c r="K13" s="70">
        <f t="shared" ref="K13" si="1">(I13-(H13))</f>
        <v>8300.7249999999985</v>
      </c>
      <c r="L13" s="70">
        <f>SUM(K13*100)/I13</f>
        <v>59.717446043165459</v>
      </c>
      <c r="M13" s="88">
        <v>1</v>
      </c>
      <c r="N13" s="70">
        <f>K13*M13</f>
        <v>8300.7249999999985</v>
      </c>
      <c r="O13" s="70">
        <f t="shared" ref="O13:O21" si="2">I13*M13</f>
        <v>13900</v>
      </c>
    </row>
    <row r="14" spans="1:17" ht="30.75" customHeight="1">
      <c r="A14" s="69" t="s">
        <v>56</v>
      </c>
      <c r="B14" s="171" t="e">
        <f>'Sales Quote  (2)'!#REF!</f>
        <v>#REF!</v>
      </c>
      <c r="C14" s="173"/>
      <c r="D14" s="174"/>
      <c r="E14" s="175"/>
      <c r="F14" s="89"/>
      <c r="G14" s="95">
        <f t="shared" ref="G14:G21" si="3">I29</f>
        <v>4393.125</v>
      </c>
      <c r="H14" s="65">
        <f t="shared" si="0"/>
        <v>4832.4375</v>
      </c>
      <c r="I14" s="141">
        <v>10900</v>
      </c>
      <c r="J14" s="86"/>
      <c r="K14" s="70">
        <f>(I14-(H14))</f>
        <v>6067.5625</v>
      </c>
      <c r="L14" s="70">
        <f>SUM(K14*100)/I14</f>
        <v>55.665711009174309</v>
      </c>
      <c r="M14" s="87">
        <v>1</v>
      </c>
      <c r="N14" s="70">
        <f>K14*M14</f>
        <v>6067.5625</v>
      </c>
      <c r="O14" s="70">
        <f t="shared" si="2"/>
        <v>10900</v>
      </c>
    </row>
    <row r="15" spans="1:17" ht="30.75" customHeight="1">
      <c r="A15" s="96" t="s">
        <v>60</v>
      </c>
      <c r="B15" s="171">
        <f>'Sales Quote  (2)'!B24</f>
        <v>0</v>
      </c>
      <c r="C15" s="173"/>
      <c r="D15" s="174"/>
      <c r="E15" s="175"/>
      <c r="F15" s="187"/>
      <c r="G15" s="95">
        <f t="shared" si="3"/>
        <v>4393.125</v>
      </c>
      <c r="H15" s="65">
        <f t="shared" si="0"/>
        <v>4832.4375</v>
      </c>
      <c r="I15" s="188">
        <v>9400</v>
      </c>
      <c r="J15" s="189"/>
      <c r="K15" s="70">
        <f t="shared" ref="K15:K21" si="4">(I15-(H15))</f>
        <v>4567.5625</v>
      </c>
      <c r="L15" s="70">
        <f t="shared" ref="L15:L21" si="5">SUM(K15*100)/I15</f>
        <v>48.591090425531917</v>
      </c>
      <c r="M15" s="190">
        <v>1</v>
      </c>
      <c r="N15" s="70">
        <f t="shared" ref="N15:N21" si="6">K15*M15</f>
        <v>4567.5625</v>
      </c>
      <c r="O15" s="70">
        <f t="shared" si="2"/>
        <v>9400</v>
      </c>
    </row>
    <row r="16" spans="1:17" ht="30.75" customHeight="1">
      <c r="A16" s="96" t="s">
        <v>61</v>
      </c>
      <c r="B16" s="171" t="e">
        <f>'Sales Quote  (2)'!#REF!</f>
        <v>#REF!</v>
      </c>
      <c r="C16" s="173"/>
      <c r="D16" s="174"/>
      <c r="E16" s="175"/>
      <c r="F16" s="187"/>
      <c r="G16" s="95">
        <f t="shared" si="3"/>
        <v>6426.7500000000009</v>
      </c>
      <c r="H16" s="65">
        <f t="shared" si="0"/>
        <v>7069.425000000002</v>
      </c>
      <c r="I16" s="188">
        <v>15490</v>
      </c>
      <c r="J16" s="189" t="s">
        <v>71</v>
      </c>
      <c r="K16" s="70">
        <f>(I16-(H16))</f>
        <v>8420.5749999999971</v>
      </c>
      <c r="L16" s="70">
        <f t="shared" si="5"/>
        <v>54.361362169141366</v>
      </c>
      <c r="M16" s="190">
        <v>1</v>
      </c>
      <c r="N16" s="70">
        <f t="shared" si="6"/>
        <v>8420.5749999999971</v>
      </c>
      <c r="O16" s="70">
        <f t="shared" si="2"/>
        <v>15490</v>
      </c>
    </row>
    <row r="17" spans="1:15" ht="30.75" customHeight="1">
      <c r="A17" s="96" t="s">
        <v>62</v>
      </c>
      <c r="B17" s="171" t="e">
        <f>'Sales Quote  (2)'!#REF!</f>
        <v>#REF!</v>
      </c>
      <c r="C17" s="173"/>
      <c r="D17" s="174"/>
      <c r="E17" s="175"/>
      <c r="F17" s="187"/>
      <c r="G17" s="95">
        <v>6853</v>
      </c>
      <c r="H17" s="65">
        <f t="shared" si="0"/>
        <v>7538.3</v>
      </c>
      <c r="I17" s="188">
        <v>12900</v>
      </c>
      <c r="J17" s="189" t="s">
        <v>72</v>
      </c>
      <c r="K17" s="70">
        <f t="shared" si="4"/>
        <v>5361.7</v>
      </c>
      <c r="L17" s="70">
        <f t="shared" si="5"/>
        <v>41.563565891472869</v>
      </c>
      <c r="M17" s="190">
        <v>1</v>
      </c>
      <c r="N17" s="70">
        <f t="shared" si="6"/>
        <v>5361.7</v>
      </c>
      <c r="O17" s="70">
        <f t="shared" si="2"/>
        <v>12900</v>
      </c>
    </row>
    <row r="18" spans="1:15" ht="30.75" customHeight="1">
      <c r="A18" s="96"/>
      <c r="B18" s="171"/>
      <c r="C18" s="173"/>
      <c r="D18" s="174"/>
      <c r="E18" s="175"/>
      <c r="F18" s="187"/>
      <c r="G18" s="95">
        <v>5205</v>
      </c>
      <c r="H18" s="65">
        <f t="shared" si="0"/>
        <v>5725.5000000000009</v>
      </c>
      <c r="I18" s="188">
        <v>10590</v>
      </c>
      <c r="J18" s="189" t="s">
        <v>73</v>
      </c>
      <c r="K18" s="70">
        <f t="shared" si="4"/>
        <v>4864.4999999999991</v>
      </c>
      <c r="L18" s="70">
        <f t="shared" si="5"/>
        <v>45.93484419263455</v>
      </c>
      <c r="M18" s="190">
        <v>1</v>
      </c>
      <c r="N18" s="70">
        <f t="shared" si="6"/>
        <v>4864.4999999999991</v>
      </c>
      <c r="O18" s="70">
        <f t="shared" si="2"/>
        <v>10590</v>
      </c>
    </row>
    <row r="19" spans="1:15" ht="30.75" customHeight="1">
      <c r="A19" s="96"/>
      <c r="B19" s="171"/>
      <c r="C19" s="173"/>
      <c r="D19" s="174"/>
      <c r="E19" s="175"/>
      <c r="F19" s="187"/>
      <c r="G19" s="95">
        <f>I32</f>
        <v>4084.1625000000004</v>
      </c>
      <c r="H19" s="65">
        <f t="shared" si="0"/>
        <v>4492.5787500000006</v>
      </c>
      <c r="I19" s="188">
        <v>9600</v>
      </c>
      <c r="J19" s="189"/>
      <c r="K19" s="70">
        <f t="shared" si="4"/>
        <v>5107.4212499999994</v>
      </c>
      <c r="L19" s="70">
        <f t="shared" si="5"/>
        <v>53.202304687499996</v>
      </c>
      <c r="M19" s="190">
        <v>1</v>
      </c>
      <c r="N19" s="70">
        <f t="shared" si="6"/>
        <v>5107.4212499999994</v>
      </c>
      <c r="O19" s="70">
        <f t="shared" si="2"/>
        <v>9600</v>
      </c>
    </row>
    <row r="20" spans="1:15" ht="30.75" customHeight="1">
      <c r="A20" s="96"/>
      <c r="B20" s="171"/>
      <c r="C20" s="173"/>
      <c r="D20" s="174"/>
      <c r="E20" s="175"/>
      <c r="F20" s="187"/>
      <c r="G20" s="95">
        <f t="shared" si="3"/>
        <v>0</v>
      </c>
      <c r="H20" s="65">
        <f t="shared" si="0"/>
        <v>0</v>
      </c>
      <c r="I20" s="188">
        <v>0</v>
      </c>
      <c r="J20" s="189"/>
      <c r="K20" s="70">
        <f t="shared" si="4"/>
        <v>0</v>
      </c>
      <c r="L20" s="70" t="e">
        <f t="shared" si="5"/>
        <v>#DIV/0!</v>
      </c>
      <c r="M20" s="190">
        <v>1</v>
      </c>
      <c r="N20" s="70">
        <f t="shared" si="6"/>
        <v>0</v>
      </c>
      <c r="O20" s="70">
        <f t="shared" si="2"/>
        <v>0</v>
      </c>
    </row>
    <row r="21" spans="1:15" ht="30.75" customHeight="1">
      <c r="A21" s="96"/>
      <c r="B21" s="94"/>
      <c r="C21" s="90"/>
      <c r="D21" s="91"/>
      <c r="E21" s="92"/>
      <c r="F21" s="89"/>
      <c r="G21" s="95">
        <f t="shared" si="3"/>
        <v>0</v>
      </c>
      <c r="H21" s="65">
        <f t="shared" si="0"/>
        <v>0</v>
      </c>
      <c r="I21" s="188">
        <v>0</v>
      </c>
      <c r="J21" s="86"/>
      <c r="K21" s="70">
        <f t="shared" si="4"/>
        <v>0</v>
      </c>
      <c r="L21" s="70" t="e">
        <f t="shared" si="5"/>
        <v>#DIV/0!</v>
      </c>
      <c r="M21" s="190">
        <v>1</v>
      </c>
      <c r="N21" s="70">
        <f t="shared" si="6"/>
        <v>0</v>
      </c>
      <c r="O21" s="70">
        <f t="shared" si="2"/>
        <v>0</v>
      </c>
    </row>
    <row r="22" spans="1:15" ht="30.75" customHeight="1">
      <c r="A22" s="74"/>
      <c r="B22" s="75"/>
      <c r="C22" s="93"/>
      <c r="D22" s="77"/>
      <c r="E22" s="77"/>
      <c r="F22" s="77"/>
      <c r="G22" s="78"/>
      <c r="H22" s="79"/>
      <c r="I22" s="80"/>
      <c r="J22" s="81"/>
      <c r="K22" s="82"/>
      <c r="L22" s="82"/>
      <c r="M22" s="83"/>
      <c r="N22" s="82"/>
      <c r="O22" s="82"/>
    </row>
    <row r="23" spans="1:15" ht="30.75" customHeight="1">
      <c r="A23" s="8"/>
      <c r="B23" s="9"/>
      <c r="C23" s="10"/>
      <c r="D23" s="11">
        <f>O24-O26</f>
        <v>82780</v>
      </c>
      <c r="E23" s="11"/>
      <c r="F23" s="11"/>
      <c r="G23" s="12"/>
      <c r="H23" s="13"/>
      <c r="I23" s="14"/>
      <c r="J23" s="6"/>
      <c r="K23" s="7"/>
      <c r="L23" s="7"/>
      <c r="M23" s="15"/>
      <c r="N23" s="7"/>
      <c r="O23" s="7"/>
    </row>
    <row r="24" spans="1:15" ht="30.75" customHeight="1" thickBot="1">
      <c r="A24" s="16"/>
      <c r="B24" s="17"/>
      <c r="C24" s="18"/>
      <c r="D24" s="19"/>
      <c r="E24" s="19"/>
      <c r="F24" s="19"/>
      <c r="G24" s="20"/>
      <c r="H24" s="21"/>
      <c r="I24" s="22"/>
      <c r="J24" s="23"/>
      <c r="K24" s="24"/>
      <c r="L24" s="25"/>
      <c r="M24" s="26">
        <f t="shared" ref="M24" si="7">SUM(M10:M23)</f>
        <v>9</v>
      </c>
      <c r="N24" s="26">
        <f>SUM(N10:N23)</f>
        <v>42690.046249999992</v>
      </c>
      <c r="O24" s="26">
        <f>SUM(O10:O23)</f>
        <v>82780</v>
      </c>
    </row>
    <row r="25" spans="1:15" ht="30.75" customHeight="1" thickTop="1">
      <c r="A25" s="27"/>
      <c r="B25" s="27"/>
      <c r="C25" s="68"/>
      <c r="D25" s="28"/>
      <c r="E25" s="28"/>
      <c r="F25" s="28"/>
      <c r="G25" s="29"/>
      <c r="H25" s="30"/>
      <c r="I25" s="29"/>
      <c r="J25" s="31"/>
      <c r="K25" s="32" t="s">
        <v>27</v>
      </c>
      <c r="L25" s="33"/>
      <c r="M25" s="34"/>
      <c r="N25" s="33"/>
      <c r="O25" s="35">
        <f>N24</f>
        <v>42690.046249999992</v>
      </c>
    </row>
    <row r="26" spans="1:15" ht="30.75" customHeight="1">
      <c r="A26" s="27"/>
      <c r="B26" s="4"/>
      <c r="C26" s="68"/>
      <c r="D26" s="62" t="s">
        <v>65</v>
      </c>
      <c r="E26" s="62" t="s">
        <v>66</v>
      </c>
      <c r="F26" s="62" t="s">
        <v>29</v>
      </c>
      <c r="G26" s="62">
        <v>33</v>
      </c>
      <c r="H26" s="62">
        <v>1.25</v>
      </c>
      <c r="I26" s="62">
        <v>1</v>
      </c>
      <c r="J26" s="36"/>
      <c r="K26" s="37" t="s">
        <v>70</v>
      </c>
      <c r="L26" s="38"/>
      <c r="M26" s="39"/>
      <c r="N26" s="38"/>
      <c r="O26" s="40">
        <f>700*M12</f>
        <v>0</v>
      </c>
    </row>
    <row r="27" spans="1:15" ht="30.75" customHeight="1">
      <c r="A27" s="27"/>
      <c r="B27" s="4"/>
      <c r="C27" s="61"/>
      <c r="D27" s="62">
        <v>0</v>
      </c>
      <c r="E27" s="62">
        <v>37.6</v>
      </c>
      <c r="F27" s="62">
        <f>SUM(D27:E27)</f>
        <v>37.6</v>
      </c>
      <c r="G27" s="62">
        <f>F27*G26</f>
        <v>1240.8</v>
      </c>
      <c r="H27" s="62">
        <f>G27*H26</f>
        <v>1551</v>
      </c>
      <c r="I27" s="201">
        <f>H27*I26</f>
        <v>1551</v>
      </c>
      <c r="J27" s="41"/>
      <c r="K27" s="42" t="s">
        <v>57</v>
      </c>
      <c r="L27" s="43"/>
      <c r="M27" s="44"/>
      <c r="N27" s="43"/>
      <c r="O27" s="45">
        <f>0.03*O25</f>
        <v>1280.7013874999998</v>
      </c>
    </row>
    <row r="28" spans="1:15" ht="30.75" customHeight="1">
      <c r="A28" s="27"/>
      <c r="B28" s="4"/>
      <c r="C28" s="61"/>
      <c r="D28" s="62">
        <v>0</v>
      </c>
      <c r="E28" s="62">
        <v>123.4</v>
      </c>
      <c r="F28" s="62">
        <f>SUM(D28:E28)</f>
        <v>123.4</v>
      </c>
      <c r="G28" s="62">
        <f>F28*G26</f>
        <v>4072.2000000000003</v>
      </c>
      <c r="H28" s="62">
        <f>G28*H26</f>
        <v>5090.25</v>
      </c>
      <c r="I28" s="201">
        <f>H28*I26</f>
        <v>5090.25</v>
      </c>
      <c r="J28" s="36"/>
      <c r="K28" s="46" t="s">
        <v>37</v>
      </c>
      <c r="L28" s="2"/>
      <c r="M28" s="47"/>
      <c r="N28" s="2"/>
      <c r="O28" s="48">
        <f>O25-O26-O27</f>
        <v>41409.344862499995</v>
      </c>
    </row>
    <row r="29" spans="1:15" ht="30.75" customHeight="1">
      <c r="A29" s="27"/>
      <c r="B29" s="4"/>
      <c r="C29" s="61"/>
      <c r="D29" s="62">
        <v>0</v>
      </c>
      <c r="E29" s="62">
        <v>106.5</v>
      </c>
      <c r="F29" s="62">
        <f t="shared" ref="F29:F35" si="8">SUM(D29:E29)</f>
        <v>106.5</v>
      </c>
      <c r="G29" s="62">
        <f>F29*G26</f>
        <v>3514.5</v>
      </c>
      <c r="H29" s="62">
        <f>G29*H26</f>
        <v>4393.125</v>
      </c>
      <c r="I29" s="201">
        <f>H29*I26</f>
        <v>4393.125</v>
      </c>
      <c r="J29" s="36"/>
      <c r="K29" s="49" t="s">
        <v>38</v>
      </c>
      <c r="L29" s="50"/>
      <c r="M29" s="51"/>
      <c r="N29" s="50"/>
      <c r="O29" s="52">
        <f>(O28*100)/D23</f>
        <v>50.023369005194489</v>
      </c>
    </row>
    <row r="30" spans="1:15" ht="30.75" customHeight="1">
      <c r="C30" s="61"/>
      <c r="D30" s="62">
        <v>0</v>
      </c>
      <c r="E30" s="62">
        <v>106.5</v>
      </c>
      <c r="F30" s="62">
        <f t="shared" si="8"/>
        <v>106.5</v>
      </c>
      <c r="G30" s="62">
        <f>F30*G26</f>
        <v>3514.5</v>
      </c>
      <c r="H30" s="62">
        <f>G30*H26</f>
        <v>4393.125</v>
      </c>
      <c r="I30" s="201">
        <f>H30*I26</f>
        <v>4393.125</v>
      </c>
    </row>
    <row r="31" spans="1:15" ht="30.75" customHeight="1">
      <c r="C31" s="61"/>
      <c r="D31" s="62">
        <v>0</v>
      </c>
      <c r="E31" s="62">
        <v>155.80000000000001</v>
      </c>
      <c r="F31" s="62">
        <f t="shared" si="8"/>
        <v>155.80000000000001</v>
      </c>
      <c r="G31" s="62">
        <f>F31*G26</f>
        <v>5141.4000000000005</v>
      </c>
      <c r="H31" s="62">
        <f>G31*H26</f>
        <v>6426.7500000000009</v>
      </c>
      <c r="I31" s="201">
        <f>H31*I26</f>
        <v>6426.7500000000009</v>
      </c>
    </row>
    <row r="32" spans="1:15" ht="30.75" customHeight="1">
      <c r="C32" s="63"/>
      <c r="D32" s="62">
        <v>0</v>
      </c>
      <c r="E32" s="62">
        <v>99.01</v>
      </c>
      <c r="F32" s="62">
        <f t="shared" si="8"/>
        <v>99.01</v>
      </c>
      <c r="G32" s="62">
        <f>F32*G26</f>
        <v>3267.3300000000004</v>
      </c>
      <c r="H32" s="62">
        <f>G32*H26</f>
        <v>4084.1625000000004</v>
      </c>
      <c r="I32" s="201">
        <f>H32*I26</f>
        <v>4084.1625000000004</v>
      </c>
    </row>
    <row r="33" spans="4:9" ht="30.75" customHeight="1">
      <c r="D33" s="62">
        <v>0</v>
      </c>
      <c r="E33" s="62">
        <v>0</v>
      </c>
      <c r="F33" s="62">
        <f t="shared" si="8"/>
        <v>0</v>
      </c>
      <c r="G33" s="62">
        <f>F33*G26</f>
        <v>0</v>
      </c>
      <c r="H33" s="62">
        <f>G33*H26</f>
        <v>0</v>
      </c>
      <c r="I33" s="201">
        <f>H33*I26</f>
        <v>0</v>
      </c>
    </row>
    <row r="34" spans="4:9" ht="30.75" customHeight="1">
      <c r="D34" s="62">
        <v>0</v>
      </c>
      <c r="E34" s="62">
        <v>0</v>
      </c>
      <c r="F34" s="62">
        <f t="shared" si="8"/>
        <v>0</v>
      </c>
      <c r="G34" s="62">
        <f>F34*G26</f>
        <v>0</v>
      </c>
      <c r="H34" s="62">
        <f>G34*H26</f>
        <v>0</v>
      </c>
      <c r="I34" s="201">
        <f>H34*I26</f>
        <v>0</v>
      </c>
    </row>
    <row r="35" spans="4:9" ht="30.75" customHeight="1">
      <c r="D35" s="62">
        <v>0</v>
      </c>
      <c r="E35" s="62">
        <v>0</v>
      </c>
      <c r="F35" s="62">
        <f t="shared" si="8"/>
        <v>0</v>
      </c>
      <c r="G35" s="62">
        <f>F35*G26</f>
        <v>0</v>
      </c>
      <c r="H35" s="62">
        <f>G35*H26</f>
        <v>0</v>
      </c>
      <c r="I35" s="201">
        <f>H35*I26</f>
        <v>0</v>
      </c>
    </row>
  </sheetData>
  <mergeCells count="9">
    <mergeCell ref="C11:E11"/>
    <mergeCell ref="A1:Q1"/>
    <mergeCell ref="M3:N3"/>
    <mergeCell ref="A8:A9"/>
    <mergeCell ref="B8:B9"/>
    <mergeCell ref="C8:C9"/>
    <mergeCell ref="E8:E9"/>
    <mergeCell ref="F8:F9"/>
    <mergeCell ref="K8:L8"/>
  </mergeCells>
  <phoneticPr fontId="28" type="noConversion"/>
  <printOptions horizontalCentered="1"/>
  <pageMargins left="0.15748031496063" right="0.118110236220472" top="0.511811023622047" bottom="0.31496062992126" header="0.511811023622047" footer="0.118110236220472"/>
  <pageSetup paperSize="9" scale="50" orientation="landscape" r:id="rId1"/>
  <headerFooter alignWithMargins="0">
    <oddFooter>&amp;CPage &amp;P of &amp;N&amp;RFM-MKT-006 (0)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3109F-9C72-4915-9705-CDA956FEBE17}">
  <dimension ref="A1"/>
  <sheetViews>
    <sheetView topLeftCell="A25" zoomScale="40" workbookViewId="0">
      <selection activeCell="V61" sqref="V61"/>
    </sheetView>
  </sheetViews>
  <sheetFormatPr defaultRowHeight="12.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ช่วงที่มีชื่อ</vt:lpstr>
      </vt:variant>
      <vt:variant>
        <vt:i4>4</vt:i4>
      </vt:variant>
    </vt:vector>
  </HeadingPairs>
  <TitlesOfParts>
    <vt:vector size="7" baseType="lpstr">
      <vt:lpstr>Sales Quote  (2)</vt:lpstr>
      <vt:lpstr>Cost Sheet (7)</vt:lpstr>
      <vt:lpstr>Sheet1</vt:lpstr>
      <vt:lpstr>'Cost Sheet (7)'!Print_Area</vt:lpstr>
      <vt:lpstr>'Sales Quote  (2)'!Print_Area</vt:lpstr>
      <vt:lpstr>'Cost Sheet (7)'!Print_Titles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2024-12-04T09:32:58Z</cp:lastPrinted>
  <dcterms:created xsi:type="dcterms:W3CDTF">2006-01-23T19:37:33Z</dcterms:created>
  <dcterms:modified xsi:type="dcterms:W3CDTF">2026-03-01T06:24:16Z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